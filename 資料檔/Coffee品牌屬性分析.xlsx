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AI Marketing 2026/AR_RA_MDS/"/>
    </mc:Choice>
  </mc:AlternateContent>
  <xr:revisionPtr revIDLastSave="3" documentId="8_{7E49F836-C95C-43C9-ACD2-1A1722C54BED}" xr6:coauthVersionLast="47" xr6:coauthVersionMax="47" xr10:uidLastSave="{10CCD2FC-CE5E-466D-83DE-D196BDB2CBD1}"/>
  <bookViews>
    <workbookView xWindow="0" yWindow="108" windowWidth="23040" windowHeight="13572" xr2:uid="{C0111B58-C317-4E4E-BEF2-CB368CB48E38}"/>
  </bookViews>
  <sheets>
    <sheet name="Dataset" sheetId="4" r:id="rId1"/>
    <sheet name="CA" sheetId="5" r:id="rId2"/>
    <sheet name="XLSTAT_20250601_150855_1_HID2" sheetId="8" state="hidden" r:id="rId3"/>
    <sheet name="XLSTAT_20250601_150855_1_HID1" sheetId="7" state="hidden" r:id="rId4"/>
    <sheet name="XLSTAT_20250601_150855_1_HID" sheetId="6" state="hidden" r:id="rId5"/>
    <sheet name="SPSS MDS PROXSCAL" sheetId="9" r:id="rId6"/>
  </sheets>
  <definedNames>
    <definedName name="tab20250601_150855_RunProcCAN_1_2362" localSheetId="1" hidden="1">CA!$B$29:$E$32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<sst xmlns="http://schemas.openxmlformats.org/spreadsheetml/2006/main" count="170" uniqueCount="69">
  <si>
    <t>Product</t>
  </si>
  <si>
    <t>Service</t>
  </si>
  <si>
    <t>Device</t>
  </si>
  <si>
    <t>Starbuck</t>
  </si>
  <si>
    <t>85C</t>
  </si>
  <si>
    <t>Crown</t>
  </si>
  <si>
    <t>Browm</t>
  </si>
  <si>
    <t>CafeOne</t>
  </si>
  <si>
    <t>Brand</t>
    <phoneticPr fontId="1" type="noConversion"/>
  </si>
  <si>
    <t xml:space="preserve">Product </t>
    <phoneticPr fontId="1" type="noConversion"/>
  </si>
  <si>
    <t>Servcies</t>
    <phoneticPr fontId="1" type="noConversion"/>
  </si>
  <si>
    <t>Device</t>
    <phoneticPr fontId="1" type="noConversion"/>
  </si>
  <si>
    <t>Convience</t>
    <phoneticPr fontId="1" type="noConversion"/>
  </si>
  <si>
    <t>Promotion</t>
    <phoneticPr fontId="1" type="noConversion"/>
  </si>
  <si>
    <t>Two-way table: Workbook = 活頁簿1 / Sheet = 工作表4 / Range = '工作表4'!$A$1:$F$6 / 5 rows and 6 columns</t>
  </si>
  <si>
    <t>Distance: Chi-square</t>
  </si>
  <si>
    <t>Significance level (%): 5</t>
  </si>
  <si>
    <t>Test of independence between the rows and the columns:</t>
  </si>
  <si>
    <t>Chi-square (Observed value)</t>
  </si>
  <si>
    <t>Chi-square (Critical value)</t>
  </si>
  <si>
    <t>DF</t>
  </si>
  <si>
    <t>p-value</t>
  </si>
  <si>
    <t>alpha</t>
  </si>
  <si>
    <t>Test interpretation:</t>
  </si>
  <si>
    <t>H0: The rows and the columns of the table are independent.</t>
  </si>
  <si>
    <t>Ha: There is a link between the rows and the columns of the table.</t>
  </si>
  <si>
    <t>As the computed p-value is greater than the significance level alpha=0.05, one cannot reject the null hypothesis H0.</t>
  </si>
  <si>
    <t>Total inertia:</t>
  </si>
  <si>
    <t>Eigenvalues and percentages of inertia:</t>
  </si>
  <si>
    <t>F1</t>
  </si>
  <si>
    <t>F2</t>
  </si>
  <si>
    <t>F3</t>
  </si>
  <si>
    <t>Eigenvalue</t>
  </si>
  <si>
    <t>Inertia %</t>
  </si>
  <si>
    <t>Cumulative %</t>
  </si>
  <si>
    <t xml:space="preserve"> </t>
  </si>
  <si>
    <t>Results for the rows:</t>
  </si>
  <si>
    <t>Weights, distances and squared distances to the origin, inertias and relative inertias (rows):</t>
  </si>
  <si>
    <t>Weight (relative)</t>
  </si>
  <si>
    <t>Distance</t>
  </si>
  <si>
    <t>Sq-Distance</t>
  </si>
  <si>
    <t>Inertia</t>
  </si>
  <si>
    <t>Inertia relative</t>
  </si>
  <si>
    <t>Principal coordinates (rows):</t>
  </si>
  <si>
    <t>Standard coordinates (rows):</t>
  </si>
  <si>
    <t>Contributions (rows):</t>
  </si>
  <si>
    <t>Squared cosines (rows):</t>
  </si>
  <si>
    <t>Results for the columns:</t>
  </si>
  <si>
    <t>Weights, distances and squared distances to the origin, inertias and relative inertias (columns):</t>
  </si>
  <si>
    <t>Servcies</t>
  </si>
  <si>
    <t>Convience</t>
  </si>
  <si>
    <t>Promotion</t>
  </si>
  <si>
    <t>Principal coordinates (columns):</t>
  </si>
  <si>
    <t>Standard coordinates (columns):</t>
  </si>
  <si>
    <t>Contributions (columns):</t>
  </si>
  <si>
    <t>Squared cosines (columns):</t>
  </si>
  <si>
    <t>Symmetric plots:</t>
  </si>
  <si>
    <t>Asymmetric plots:</t>
  </si>
  <si>
    <r>
      <t>XLSTAT 2024.4.1.1425 - Correspondence Analysis (CA) - Start time: 2025/06/01 at 15:09:16 / End time: 2025/06/01 at 15:09:19</t>
    </r>
    <r>
      <rPr>
        <sz val="12"/>
        <color rgb="FFFFFFFF"/>
        <rFont val="新細明體"/>
        <family val="2"/>
        <charset val="136"/>
        <scheme val="minor"/>
      </rPr>
      <t xml:space="preserve"> / Microsoft Excel 16.014332</t>
    </r>
    <phoneticPr fontId="1" type="noConversion"/>
  </si>
  <si>
    <t>最後座標</t>
  </si>
  <si>
    <t>維度</t>
  </si>
  <si>
    <t>1</t>
  </si>
  <si>
    <t>2</t>
  </si>
  <si>
    <t>Case 1</t>
  </si>
  <si>
    <t>Case 2</t>
  </si>
  <si>
    <t>Case 3</t>
  </si>
  <si>
    <t>Case 4</t>
  </si>
  <si>
    <t>Case 5</t>
  </si>
  <si>
    <t>Convenient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</si>
</sst>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[&lt;0.0001]&quot;&lt;0.0001&quot;;0.000"/>
    <numFmt numFmtId="178" formatCode="####.000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FFFF"/>
      <name val="新細明體"/>
      <family val="2"/>
      <charset val="136"/>
      <scheme val="minor"/>
    </font>
    <font>
      <sz val="10"/>
      <name val="Arial"/>
    </font>
    <font>
      <b/>
      <sz val="9"/>
      <color indexed="8"/>
      <name val="PMingLiU"/>
      <family val="1"/>
      <charset val="136"/>
    </font>
    <font>
      <sz val="9"/>
      <color indexed="8"/>
      <name val="MingLiU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5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14" xfId="1" applyFont="1" applyBorder="1" applyAlignment="1">
      <alignment horizontal="center" wrapText="1"/>
    </xf>
    <xf numFmtId="0" fontId="8" fillId="0" borderId="15" xfId="1" applyFont="1" applyBorder="1" applyAlignment="1">
      <alignment horizontal="center" wrapText="1"/>
    </xf>
    <xf numFmtId="0" fontId="8" fillId="0" borderId="11" xfId="1" applyFont="1" applyBorder="1" applyAlignment="1">
      <alignment horizontal="left" vertical="top" wrapText="1"/>
    </xf>
    <xf numFmtId="178" fontId="8" fillId="0" borderId="16" xfId="1" applyNumberFormat="1" applyFont="1" applyBorder="1" applyAlignment="1">
      <alignment horizontal="right" vertical="top"/>
    </xf>
    <xf numFmtId="178" fontId="8" fillId="0" borderId="17" xfId="1" applyNumberFormat="1" applyFont="1" applyBorder="1" applyAlignment="1">
      <alignment horizontal="right" vertical="top"/>
    </xf>
    <xf numFmtId="0" fontId="8" fillId="0" borderId="18" xfId="1" applyFont="1" applyBorder="1" applyAlignment="1">
      <alignment horizontal="left" vertical="top" wrapText="1"/>
    </xf>
    <xf numFmtId="178" fontId="8" fillId="0" borderId="19" xfId="1" applyNumberFormat="1" applyFont="1" applyBorder="1" applyAlignment="1">
      <alignment horizontal="right" vertical="top"/>
    </xf>
    <xf numFmtId="178" fontId="8" fillId="0" borderId="20" xfId="1" applyNumberFormat="1" applyFont="1" applyBorder="1" applyAlignment="1">
      <alignment horizontal="right" vertical="top"/>
    </xf>
    <xf numFmtId="0" fontId="8" fillId="0" borderId="13" xfId="1" applyFont="1" applyBorder="1" applyAlignment="1">
      <alignment horizontal="left" vertical="top" wrapText="1"/>
    </xf>
    <xf numFmtId="178" fontId="8" fillId="0" borderId="21" xfId="1" applyNumberFormat="1" applyFont="1" applyBorder="1" applyAlignment="1">
      <alignment horizontal="right" vertical="top"/>
    </xf>
    <xf numFmtId="178" fontId="8" fillId="0" borderId="22" xfId="1" applyNumberFormat="1" applyFont="1" applyBorder="1" applyAlignment="1">
      <alignment horizontal="right" vertical="top"/>
    </xf>
    <xf numFmtId="178" fontId="8" fillId="0" borderId="23" xfId="1" applyNumberFormat="1" applyFont="1" applyBorder="1" applyAlignment="1">
      <alignment horizontal="right" vertical="top"/>
    </xf>
    <xf numFmtId="178" fontId="8" fillId="0" borderId="24" xfId="1" applyNumberFormat="1" applyFont="1" applyBorder="1" applyAlignment="1">
      <alignment horizontal="right" vertical="top"/>
    </xf>
    <xf numFmtId="178" fontId="8" fillId="0" borderId="25" xfId="1" applyNumberFormat="1" applyFont="1" applyBorder="1" applyAlignment="1">
      <alignment horizontal="right" vertical="top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7" fillId="0" borderId="0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  <xf numFmtId="0" fontId="6" fillId="0" borderId="10" xfId="1" applyBorder="1" applyAlignment="1">
      <alignment horizontal="center" vertical="center" wrapText="1"/>
    </xf>
    <xf numFmtId="0" fontId="8" fillId="0" borderId="11" xfId="1" applyFont="1" applyBorder="1" applyAlignment="1">
      <alignment horizontal="center" wrapText="1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1" xfId="1" applyFont="1" applyBorder="1" applyAlignment="1">
      <alignment horizontal="center" wrapText="1"/>
    </xf>
    <xf numFmtId="0" fontId="6" fillId="0" borderId="12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/>
    </xf>
    <xf numFmtId="0" fontId="6" fillId="0" borderId="10" xfId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/>
    </xf>
  </cellXfs>
  <cellStyles count="2">
    <cellStyle name="一般" xfId="0" builtinId="0"/>
    <cellStyle name="一般_工作表1" xfId="1" xr:uid="{081FA3C3-C03B-4071-82F0-C08613EC58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CA!$C$29:$E$29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CA!$C$30:$E$30</c:f>
              <c:numCache>
                <c:formatCode>0.000</c:formatCode>
                <c:ptCount val="3"/>
                <c:pt idx="0">
                  <c:v>1.3560495278059736E-3</c:v>
                </c:pt>
                <c:pt idx="1">
                  <c:v>2.2943289937470951E-5</c:v>
                </c:pt>
                <c:pt idx="2">
                  <c:v>2.5919855569361061E-6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0-4A1A-A2B0-954462FA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61526367"/>
        <c:axId val="161521791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CA!$C$29:$E$29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CA!$C$32:$E$32</c:f>
              <c:numCache>
                <c:formatCode>0.000</c:formatCode>
                <c:ptCount val="3"/>
                <c:pt idx="0">
                  <c:v>98.148109952494011</c:v>
                </c:pt>
                <c:pt idx="1">
                  <c:v>99.808698667935857</c:v>
                </c:pt>
                <c:pt idx="2">
                  <c:v>99.996301316822169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0-4A1A-A2B0-954462FA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23039"/>
        <c:axId val="161529279"/>
      </c:lineChart>
      <c:catAx>
        <c:axId val="16152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61521791"/>
        <c:crosses val="autoZero"/>
        <c:auto val="1"/>
        <c:lblAlgn val="ctr"/>
        <c:lblOffset val="100"/>
        <c:noMultiLvlLbl val="0"/>
      </c:catAx>
      <c:valAx>
        <c:axId val="16152179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61526367"/>
        <c:crosses val="autoZero"/>
        <c:crossBetween val="between"/>
      </c:valAx>
      <c:valAx>
        <c:axId val="161529279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Inertia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61523039"/>
        <c:crosses val="max"/>
        <c:crossBetween val="between"/>
        <c:majorUnit val="20"/>
      </c:valAx>
      <c:catAx>
        <c:axId val="1615230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29279"/>
        <c:crosses val="autoZero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Symmetric plot
 (axes F1 and F2: 99.81 %)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Product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550-4735-8DF4-187E7C26C9B9}"/>
                </c:ext>
              </c:extLst>
            </c:dLbl>
            <c:dLbl>
              <c:idx val="1"/>
              <c:layout>
                <c:manualLayout>
                  <c:x val="-0.11489583333333334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Servcies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550-4735-8DF4-187E7C26C9B9}"/>
                </c:ext>
              </c:extLst>
            </c:dLbl>
            <c:dLbl>
              <c:idx val="2"/>
              <c:layout>
                <c:manualLayout>
                  <c:x val="-0.10069444444444445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Device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550-4735-8DF4-187E7C26C9B9}"/>
                </c:ext>
              </c:extLst>
            </c:dLbl>
            <c:dLbl>
              <c:idx val="3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Convience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550-4735-8DF4-187E7C26C9B9}"/>
                </c:ext>
              </c:extLst>
            </c:dLbl>
            <c:dLbl>
              <c:idx val="4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Promotion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550-4735-8DF4-187E7C26C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XLSTAT_20250601_150855_1_HID!$A$1:$A$5</c:f>
              <c:numCache>
                <c:formatCode>General</c:formatCode>
                <c:ptCount val="5"/>
                <c:pt idx="0">
                  <c:v>3.7066509740503399E-2</c:v>
                </c:pt>
                <c:pt idx="1">
                  <c:v>-6.1764209916363437E-2</c:v>
                </c:pt>
                <c:pt idx="2">
                  <c:v>-2.3410654321054894E-2</c:v>
                </c:pt>
                <c:pt idx="3">
                  <c:v>2.860457751870828E-2</c:v>
                </c:pt>
                <c:pt idx="4">
                  <c:v>1.7067004793277326E-2</c:v>
                </c:pt>
              </c:numCache>
            </c:numRef>
          </c:xVal>
          <c:yVal>
            <c:numRef>
              <c:f>XLSTAT_20250601_150855_1_HID!$B$1:$B$5</c:f>
              <c:numCache>
                <c:formatCode>General</c:formatCode>
                <c:ptCount val="5"/>
                <c:pt idx="0">
                  <c:v>7.597279512396784E-3</c:v>
                </c:pt>
                <c:pt idx="1">
                  <c:v>1.7341014838892033E-3</c:v>
                </c:pt>
                <c:pt idx="2">
                  <c:v>-1.2136940414491934E-3</c:v>
                </c:pt>
                <c:pt idx="3">
                  <c:v>-6.9989199554718285E-3</c:v>
                </c:pt>
                <c:pt idx="4">
                  <c:v>-1.8296129700695321E-3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0-4735-8DF4-187E7C26C9B9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2102444225721785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Starbuck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550-4735-8DF4-187E7C26C9B9}"/>
                </c:ext>
              </c:extLst>
            </c:dLbl>
            <c:dLbl>
              <c:idx val="1"/>
              <c:layout>
                <c:manualLayout>
                  <c:x val="-7.2326388888888885E-2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85C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550-4735-8DF4-187E7C26C9B9}"/>
                </c:ext>
              </c:extLst>
            </c:dLbl>
            <c:dLbl>
              <c:idx val="2"/>
              <c:layout>
                <c:manualLayout>
                  <c:x val="-1.7361111111111112E-2"/>
                  <c:y val="1.736111111111097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Crown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550-4735-8DF4-187E7C26C9B9}"/>
                </c:ext>
              </c:extLst>
            </c:dLbl>
            <c:dLbl>
              <c:idx val="3"/>
              <c:layout>
                <c:manualLayout>
                  <c:x val="-0.10602444225721788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Browm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550-4735-8DF4-187E7C26C9B9}"/>
                </c:ext>
              </c:extLst>
            </c:dLbl>
            <c:dLbl>
              <c:idx val="4"/>
              <c:layout>
                <c:manualLayout>
                  <c:x val="-0.11980889107611549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CafeOne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550-4735-8DF4-187E7C26C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XLSTAT_20250601_150855_1_HID!$C$1:$C$5</c:f>
              <c:numCache>
                <c:formatCode>General</c:formatCode>
                <c:ptCount val="5"/>
                <c:pt idx="0">
                  <c:v>-6.6804733716092435E-3</c:v>
                </c:pt>
                <c:pt idx="1">
                  <c:v>-1.6267213591438717E-2</c:v>
                </c:pt>
                <c:pt idx="2">
                  <c:v>6.9375720642299604E-2</c:v>
                </c:pt>
                <c:pt idx="3">
                  <c:v>-2.8935955728824823E-2</c:v>
                </c:pt>
                <c:pt idx="4">
                  <c:v>-2.7325501906332584E-2</c:v>
                </c:pt>
              </c:numCache>
            </c:numRef>
          </c:xVal>
          <c:yVal>
            <c:numRef>
              <c:f>XLSTAT_20250601_150855_1_HID!$D$1:$D$5</c:f>
              <c:numCache>
                <c:formatCode>General</c:formatCode>
                <c:ptCount val="5"/>
                <c:pt idx="0">
                  <c:v>7.0803588910505807E-3</c:v>
                </c:pt>
                <c:pt idx="1">
                  <c:v>2.4386759851034211E-3</c:v>
                </c:pt>
                <c:pt idx="2">
                  <c:v>-1.9583168564610573E-3</c:v>
                </c:pt>
                <c:pt idx="3">
                  <c:v>-3.7532262994260184E-3</c:v>
                </c:pt>
                <c:pt idx="4">
                  <c:v>-6.4980017933838688E-3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50-4735-8DF4-187E7C26C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24287"/>
        <c:axId val="161525119"/>
      </c:scatterChart>
      <c:valAx>
        <c:axId val="161524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(98.15 %)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61525119"/>
        <c:crosses val="autoZero"/>
        <c:crossBetween val="midCat"/>
      </c:valAx>
      <c:valAx>
        <c:axId val="161525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(1.66 %)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615242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row plot
 (axes F1 and F2: 99.81 %)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Product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9DE-4DFB-BF94-9CA3128D2F9B}"/>
                </c:ext>
              </c:extLst>
            </c:dLbl>
            <c:dLbl>
              <c:idx val="1"/>
              <c:layout>
                <c:manualLayout>
                  <c:x val="-0.10978346456692914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Servcies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9DE-4DFB-BF94-9CA3128D2F9B}"/>
                </c:ext>
              </c:extLst>
            </c:dLbl>
            <c:dLbl>
              <c:idx val="2"/>
              <c:layout>
                <c:manualLayout>
                  <c:x val="-0.10069444444444445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Device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9DE-4DFB-BF94-9CA3128D2F9B}"/>
                </c:ext>
              </c:extLst>
            </c:dLbl>
            <c:dLbl>
              <c:idx val="3"/>
              <c:layout>
                <c:manualLayout>
                  <c:x val="-1.7361111111111046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Convience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9DE-4DFB-BF94-9CA3128D2F9B}"/>
                </c:ext>
              </c:extLst>
            </c:dLbl>
            <c:dLbl>
              <c:idx val="4"/>
              <c:layout>
                <c:manualLayout>
                  <c:x val="-1.7361111111111046E-2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Promotion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9DE-4DFB-BF94-9CA3128D2F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XLSTAT_20250601_150855_1_HID1!$A$1:$A$5</c:f>
              <c:numCache>
                <c:formatCode>General</c:formatCode>
                <c:ptCount val="5"/>
                <c:pt idx="0">
                  <c:v>1.0065698505446421</c:v>
                </c:pt>
                <c:pt idx="1">
                  <c:v>-1.6772550741832408</c:v>
                </c:pt>
                <c:pt idx="2">
                  <c:v>-0.63573449418538308</c:v>
                </c:pt>
                <c:pt idx="3">
                  <c:v>0.77677951119407962</c:v>
                </c:pt>
                <c:pt idx="4">
                  <c:v>0.46346776603144346</c:v>
                </c:pt>
              </c:numCache>
            </c:numRef>
          </c:xVal>
          <c:yVal>
            <c:numRef>
              <c:f>XLSTAT_20250601_150855_1_HID1!$B$1:$B$5</c:f>
              <c:numCache>
                <c:formatCode>General</c:formatCode>
                <c:ptCount val="5"/>
                <c:pt idx="0">
                  <c:v>1.5860988790009467</c:v>
                </c:pt>
                <c:pt idx="1">
                  <c:v>0.36203175296927198</c:v>
                </c:pt>
                <c:pt idx="2">
                  <c:v>-0.25338527501213187</c:v>
                </c:pt>
                <c:pt idx="3">
                  <c:v>-1.4611781858857915</c:v>
                </c:pt>
                <c:pt idx="4">
                  <c:v>-0.38197187244429465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DE-4DFB-BF94-9CA3128D2F9B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2102444225721785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Starbuck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9DE-4DFB-BF94-9CA3128D2F9B}"/>
                </c:ext>
              </c:extLst>
            </c:dLbl>
            <c:dLbl>
              <c:idx val="1"/>
              <c:layout>
                <c:manualLayout>
                  <c:x val="-7.2326388888888885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85C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9DE-4DFB-BF94-9CA3128D2F9B}"/>
                </c:ext>
              </c:extLst>
            </c:dLbl>
            <c:dLbl>
              <c:idx val="2"/>
              <c:layout>
                <c:manualLayout>
                  <c:x val="-1.7361111111111174E-2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Crown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89DE-4DFB-BF94-9CA3128D2F9B}"/>
                </c:ext>
              </c:extLst>
            </c:dLbl>
            <c:dLbl>
              <c:idx val="3"/>
              <c:layout>
                <c:manualLayout>
                  <c:x val="-0.10602444225721785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Browm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9DE-4DFB-BF94-9CA3128D2F9B}"/>
                </c:ext>
              </c:extLst>
            </c:dLbl>
            <c:dLbl>
              <c:idx val="4"/>
              <c:layout>
                <c:manualLayout>
                  <c:x val="-0.11980889107611549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CafeOne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9DE-4DFB-BF94-9CA3128D2F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XLSTAT_20250601_150855_1_HID1!$C$1:$C$5</c:f>
              <c:numCache>
                <c:formatCode>General</c:formatCode>
                <c:ptCount val="5"/>
                <c:pt idx="0">
                  <c:v>-6.6804733716092435E-3</c:v>
                </c:pt>
                <c:pt idx="1">
                  <c:v>-1.6267213591438717E-2</c:v>
                </c:pt>
                <c:pt idx="2">
                  <c:v>6.9375720642299604E-2</c:v>
                </c:pt>
                <c:pt idx="3">
                  <c:v>-2.8935955728824823E-2</c:v>
                </c:pt>
                <c:pt idx="4">
                  <c:v>-2.7325501906332584E-2</c:v>
                </c:pt>
              </c:numCache>
            </c:numRef>
          </c:xVal>
          <c:yVal>
            <c:numRef>
              <c:f>XLSTAT_20250601_150855_1_HID1!$D$1:$D$5</c:f>
              <c:numCache>
                <c:formatCode>General</c:formatCode>
                <c:ptCount val="5"/>
                <c:pt idx="0">
                  <c:v>7.0803588910505807E-3</c:v>
                </c:pt>
                <c:pt idx="1">
                  <c:v>2.4386759851034211E-3</c:v>
                </c:pt>
                <c:pt idx="2">
                  <c:v>-1.9583168564610573E-3</c:v>
                </c:pt>
                <c:pt idx="3">
                  <c:v>-3.7532262994260184E-3</c:v>
                </c:pt>
                <c:pt idx="4">
                  <c:v>-6.4980017933838688E-3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DE-4DFB-BF94-9CA3128D2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28447"/>
        <c:axId val="161527615"/>
      </c:scatterChart>
      <c:valAx>
        <c:axId val="161528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(98.15 %)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61527615"/>
        <c:crosses val="autoZero"/>
        <c:crossBetween val="midCat"/>
      </c:valAx>
      <c:valAx>
        <c:axId val="1615276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(1.66 %)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6152844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>
                <a:latin typeface="Arial"/>
                <a:ea typeface="Arial"/>
                <a:cs typeface="Arial"/>
              </a:defRPr>
            </a:pPr>
            <a:r>
              <a:rPr lang="en-US"/>
              <a:t>Asymmetric column plot
 (axes F1 and F2: 99.81 %)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Columns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Product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1A1-4FC0-97D7-A059403D68FE}"/>
                </c:ext>
              </c:extLst>
            </c:dLbl>
            <c:dLbl>
              <c:idx val="1"/>
              <c:layout>
                <c:manualLayout>
                  <c:x val="-0.11489583333333334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Servcies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1A1-4FC0-97D7-A059403D68FE}"/>
                </c:ext>
              </c:extLst>
            </c:dLbl>
            <c:dLbl>
              <c:idx val="2"/>
              <c:layout>
                <c:manualLayout>
                  <c:x val="-0.10069444444444445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Device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A1-4FC0-97D7-A059403D68FE}"/>
                </c:ext>
              </c:extLst>
            </c:dLbl>
            <c:dLbl>
              <c:idx val="3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Convience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A1-4FC0-97D7-A059403D68FE}"/>
                </c:ext>
              </c:extLst>
            </c:dLbl>
            <c:dLbl>
              <c:idx val="4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Promotion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1A1-4FC0-97D7-A059403D6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XLSTAT_20250601_150855_1_HID2!$A$1:$A$5</c:f>
              <c:numCache>
                <c:formatCode>General</c:formatCode>
                <c:ptCount val="5"/>
                <c:pt idx="0">
                  <c:v>3.7066509740503399E-2</c:v>
                </c:pt>
                <c:pt idx="1">
                  <c:v>-6.1764209916363437E-2</c:v>
                </c:pt>
                <c:pt idx="2">
                  <c:v>-2.3410654321054894E-2</c:v>
                </c:pt>
                <c:pt idx="3">
                  <c:v>2.860457751870828E-2</c:v>
                </c:pt>
                <c:pt idx="4">
                  <c:v>1.7067004793277326E-2</c:v>
                </c:pt>
              </c:numCache>
            </c:numRef>
          </c:xVal>
          <c:yVal>
            <c:numRef>
              <c:f>XLSTAT_20250601_150855_1_HID2!$B$1:$B$5</c:f>
              <c:numCache>
                <c:formatCode>General</c:formatCode>
                <c:ptCount val="5"/>
                <c:pt idx="0">
                  <c:v>7.597279512396784E-3</c:v>
                </c:pt>
                <c:pt idx="1">
                  <c:v>1.7341014838892033E-3</c:v>
                </c:pt>
                <c:pt idx="2">
                  <c:v>-1.2136940414491934E-3</c:v>
                </c:pt>
                <c:pt idx="3">
                  <c:v>-6.9989199554718285E-3</c:v>
                </c:pt>
                <c:pt idx="4">
                  <c:v>-1.8296129700695321E-3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A1-4FC0-97D7-A059403D68FE}"/>
            </c:ext>
          </c:extLst>
        </c:ser>
        <c:ser>
          <c:idx val="1"/>
          <c:order val="1"/>
          <c:tx>
            <c:v>Rows</c:v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2102444225721787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Starbuck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1A1-4FC0-97D7-A059403D68FE}"/>
                </c:ext>
              </c:extLst>
            </c:dLbl>
            <c:dLbl>
              <c:idx val="1"/>
              <c:layout>
                <c:manualLayout>
                  <c:x val="-7.2326388888888885E-2"/>
                  <c:y val="-3.0864197530864269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85C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1A1-4FC0-97D7-A059403D68FE}"/>
                </c:ext>
              </c:extLst>
            </c:dLbl>
            <c:dLbl>
              <c:idx val="2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Crown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1A1-4FC0-97D7-A059403D68FE}"/>
                </c:ext>
              </c:extLst>
            </c:dLbl>
            <c:dLbl>
              <c:idx val="3"/>
              <c:layout>
                <c:manualLayout>
                  <c:x val="-8.7969706911636039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Browm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B1A1-4FC0-97D7-A059403D68FE}"/>
                </c:ext>
              </c:extLst>
            </c:dLbl>
            <c:dLbl>
              <c:idx val="4"/>
              <c:layout>
                <c:manualLayout>
                  <c:x val="-9.5604221347331583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 altLang="zh-TW"/>
                      <a:t>CafeOne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B1A1-4FC0-97D7-A059403D68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XLSTAT_20250601_150855_1_HID2!$C$1:$C$5</c:f>
              <c:numCache>
                <c:formatCode>General</c:formatCode>
                <c:ptCount val="5"/>
                <c:pt idx="0">
                  <c:v>-0.18141344114415814</c:v>
                </c:pt>
                <c:pt idx="1">
                  <c:v>-0.44174881498540208</c:v>
                </c:pt>
                <c:pt idx="2">
                  <c:v>1.8839515575441383</c:v>
                </c:pt>
                <c:pt idx="3">
                  <c:v>-0.78577834377275857</c:v>
                </c:pt>
                <c:pt idx="4">
                  <c:v>-0.7420452198621541</c:v>
                </c:pt>
              </c:numCache>
            </c:numRef>
          </c:xVal>
          <c:yVal>
            <c:numRef>
              <c:f>XLSTAT_20250601_150855_1_HID2!$D$1:$D$5</c:f>
              <c:numCache>
                <c:formatCode>General</c:formatCode>
                <c:ptCount val="5"/>
                <c:pt idx="0">
                  <c:v>1.4781803514922718</c:v>
                </c:pt>
                <c:pt idx="1">
                  <c:v>0.50912714740948084</c:v>
                </c:pt>
                <c:pt idx="2">
                  <c:v>-0.40884163412616575</c:v>
                </c:pt>
                <c:pt idx="3">
                  <c:v>-0.78356838345130675</c:v>
                </c:pt>
                <c:pt idx="4">
                  <c:v>-1.3566005230444413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A1-4FC0-97D7-A059403D6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797887"/>
        <c:axId val="1716795391"/>
      </c:scatterChart>
      <c:valAx>
        <c:axId val="1716797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F1 (98.15 %)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zh-TW"/>
          </a:p>
        </c:txPr>
        <c:crossAx val="1716795391"/>
        <c:crosses val="autoZero"/>
        <c:crossBetween val="midCat"/>
      </c:valAx>
      <c:valAx>
        <c:axId val="1716795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F2 (1.66 %)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zh-TW"/>
          </a:p>
        </c:txPr>
        <c:crossAx val="1716797887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8628639162040228E-2"/>
          <c:y val="9.3380952380952384E-2"/>
          <c:w val="0.92509390627246868"/>
          <c:h val="0.8828095238095238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5954524501641595"/>
                  <c:y val="7.5017810273715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23810E-D20F-4508-A2D6-337597A5545F}" type="CELLRANGE">
                      <a:rPr lang="en-US" altLang="zh-TW"/>
                      <a:pPr>
                        <a:defRPr/>
                      </a:pPr>
                      <a:t>[CELLRANGE]</a:t>
                    </a:fld>
                    <a:endParaRPr lang="zh-TW" altLang="en-US"/>
                  </a:p>
                </c:rich>
              </c:tx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BB1-4358-90E3-07C48154BDF6}"/>
                </c:ext>
              </c:extLst>
            </c:dLbl>
            <c:dLbl>
              <c:idx val="1"/>
              <c:layout>
                <c:manualLayout>
                  <c:x val="-8.9537463731012124E-2"/>
                  <c:y val="6.787495313085856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9DBBAE2-55A0-4829-8D70-294F1A7D4D90}" type="CELLRANGE">
                      <a:rPr lang="en-US" altLang="zh-TW"/>
                      <a:pPr>
                        <a:defRPr/>
                      </a:pPr>
                      <a:t>[CELLRANGE]</a:t>
                    </a:fld>
                    <a:endParaRPr lang="zh-TW" altLang="en-US"/>
                  </a:p>
                </c:rich>
              </c:tx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BB1-4358-90E3-07C48154BDF6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AD59572-B61F-4113-988B-8F4E87FF5D10}" type="CELLRANGE">
                      <a:rPr lang="zh-TW" altLang="en-US"/>
                      <a:pPr>
                        <a:defRPr/>
                      </a:pPr>
                      <a:t>[CELLRANGE]</a:t>
                    </a:fld>
                    <a:endParaRPr lang="zh-TW" altLang="en-US"/>
                  </a:p>
                </c:rich>
              </c:tx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BB1-4358-90E3-07C48154BDF6}"/>
                </c:ext>
              </c:extLst>
            </c:dLbl>
            <c:dLbl>
              <c:idx val="3"/>
              <c:layout>
                <c:manualLayout>
                  <c:x val="-2.3387130372144342E-2"/>
                  <c:y val="-9.64107611548556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53071EA-E93A-4B11-8CBC-3173CE81C407}" type="CELLRANGE">
                      <a:rPr lang="en-US" altLang="zh-TW"/>
                      <a:pPr>
                        <a:defRPr/>
                      </a:pPr>
                      <a:t>[CELLRANGE]</a:t>
                    </a:fld>
                    <a:endParaRPr lang="zh-TW" altLang="en-US"/>
                  </a:p>
                </c:rich>
              </c:tx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BB1-4358-90E3-07C48154BDF6}"/>
                </c:ext>
              </c:extLst>
            </c:dLbl>
            <c:dLbl>
              <c:idx val="4"/>
              <c:layout>
                <c:manualLayout>
                  <c:x val="-7.2580981140798265E-3"/>
                  <c:y val="-7.498218972628430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FCD7C45-996A-49E5-99B5-3AC637255D01}" type="CELLRANGE">
                      <a:rPr lang="en-US" altLang="zh-TW"/>
                      <a:pPr>
                        <a:defRPr/>
                      </a:pPr>
                      <a:t>[CELLRANGE]</a:t>
                    </a:fld>
                    <a:endParaRPr lang="zh-TW" altLang="en-US"/>
                  </a:p>
                </c:rich>
              </c:tx>
              <c:spPr>
                <a:solidFill>
                  <a:srgbClr val="92D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BB1-4358-90E3-07C48154BDF6}"/>
                </c:ext>
              </c:extLst>
            </c:dLbl>
            <c:dLbl>
              <c:idx val="5"/>
              <c:layout>
                <c:manualLayout>
                  <c:x val="-5.4459052833449595E-2"/>
                  <c:y val="-0.11545838020247469"/>
                </c:manualLayout>
              </c:layout>
              <c:tx>
                <c:rich>
                  <a:bodyPr/>
                  <a:lstStyle/>
                  <a:p>
                    <a:fld id="{A6E4FF57-1DA9-4E78-B707-0BFB1767999F}" type="CELLRANGE">
                      <a:rPr lang="en-US" altLang="zh-TW"/>
                      <a:pPr/>
                      <a:t>[CELLRANGE]</a:t>
                    </a:fld>
                    <a:endParaRPr lang="zh-TW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BB1-4358-90E3-07C48154BD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69CAE5-0CA9-41C1-8F4F-88D1C4542909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BB1-4358-90E3-07C48154BD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FDB8013-E4BC-4388-BDA4-91378945ECE4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B1-4358-90E3-07C48154BD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B1D443D-A47C-4F51-92EE-4443E811A9CB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BB1-4358-90E3-07C48154BD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B71F440-2394-424B-B42A-B0E2C4244E23}" type="CELLRANGE">
                      <a:rPr lang="zh-TW" altLang="en-US"/>
                      <a:pPr/>
                      <a:t>[CELLRANGE]</a:t>
                    </a:fld>
                    <a:endParaRPr lang="zh-TW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B1-4358-90E3-07C48154BD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'SPSS MDS PROXSCAL'!$D$12:$D$21</c:f>
              <c:numCache>
                <c:formatCode>####.000</c:formatCode>
                <c:ptCount val="10"/>
                <c:pt idx="0">
                  <c:v>-0.6084513122916011</c:v>
                </c:pt>
                <c:pt idx="1">
                  <c:v>-0.56511586738616182</c:v>
                </c:pt>
                <c:pt idx="2">
                  <c:v>-0.30560875931039416</c:v>
                </c:pt>
                <c:pt idx="3">
                  <c:v>0.70437093158880903</c:v>
                </c:pt>
                <c:pt idx="4">
                  <c:v>0.77480500739934799</c:v>
                </c:pt>
                <c:pt idx="5">
                  <c:v>-0.77823923239968851</c:v>
                </c:pt>
                <c:pt idx="6">
                  <c:v>0.65594703106123298</c:v>
                </c:pt>
                <c:pt idx="7">
                  <c:v>0.18025930567319803</c:v>
                </c:pt>
                <c:pt idx="8">
                  <c:v>0.3604205861534705</c:v>
                </c:pt>
                <c:pt idx="9">
                  <c:v>-0.41838769048821295</c:v>
                </c:pt>
              </c:numCache>
            </c:numRef>
          </c:xVal>
          <c:yVal>
            <c:numRef>
              <c:f>'SPSS MDS PROXSCAL'!$E$12:$E$21</c:f>
              <c:numCache>
                <c:formatCode>####.000</c:formatCode>
                <c:ptCount val="10"/>
                <c:pt idx="0">
                  <c:v>-9.1530529811645625E-2</c:v>
                </c:pt>
                <c:pt idx="1">
                  <c:v>-0.14437173528378461</c:v>
                </c:pt>
                <c:pt idx="2">
                  <c:v>0.29656241323519167</c:v>
                </c:pt>
                <c:pt idx="3">
                  <c:v>-5.0150200954488617E-3</c:v>
                </c:pt>
                <c:pt idx="4">
                  <c:v>-5.5645128044312667E-2</c:v>
                </c:pt>
                <c:pt idx="5">
                  <c:v>-4.834228885809249E-2</c:v>
                </c:pt>
                <c:pt idx="6">
                  <c:v>-0.3966416294049997</c:v>
                </c:pt>
                <c:pt idx="7">
                  <c:v>-0.17463872609036521</c:v>
                </c:pt>
                <c:pt idx="8">
                  <c:v>0.65905408491212902</c:v>
                </c:pt>
                <c:pt idx="9">
                  <c:v>-3.9431440558671586E-2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'SPSS MDS PROXSCAL'!$C$12:$C$21</c15:f>
                <c15:dlblRangeCache>
                  <c:ptCount val="10"/>
                  <c:pt idx="0">
                    <c:v>Starbuck</c:v>
                  </c:pt>
                  <c:pt idx="1">
                    <c:v>85C</c:v>
                  </c:pt>
                  <c:pt idx="2">
                    <c:v>Crown</c:v>
                  </c:pt>
                  <c:pt idx="3">
                    <c:v>Browm</c:v>
                  </c:pt>
                  <c:pt idx="4">
                    <c:v>CafeOne</c:v>
                  </c:pt>
                  <c:pt idx="5">
                    <c:v>Product</c:v>
                  </c:pt>
                  <c:pt idx="6">
                    <c:v>Service</c:v>
                  </c:pt>
                  <c:pt idx="7">
                    <c:v>Device</c:v>
                  </c:pt>
                  <c:pt idx="8">
                    <c:v>Convenient</c:v>
                  </c:pt>
                  <c:pt idx="9">
                    <c:v>Promotion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BB1-4358-90E3-07C48154BD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26702256"/>
        <c:axId val="1126713072"/>
      </c:scatterChart>
      <c:valAx>
        <c:axId val="112670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#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6713072"/>
        <c:crosses val="autoZero"/>
        <c:crossBetween val="midCat"/>
      </c:valAx>
      <c:valAx>
        <c:axId val="112671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#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2670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noThreeD="1" sel="1" val="0">
  <itemLst>
    <item val="Test of independence between the rows and the columns"/>
    <item val="Eigenvalues and percentages of inertia"/>
    <item val="Results for the rows"/>
    <item val="Weights, distances and squared distances to the origin, inertias and relative inertias (rows)"/>
    <item val="Principal coordinates (rows)"/>
    <item val="Standard coordinates (rows)"/>
    <item val="Contributions (rows)"/>
    <item val="Squared cosines (rows)"/>
    <item val="Results for the columns"/>
    <item val="Weights, distances and squared distances to the origin, inertias and relative inertias (columns)"/>
    <item val="Principal coordinates (columns)"/>
    <item val="Standard coordinates (columns)"/>
    <item val="Contributions (columns)"/>
    <item val="Squared cosines (columns)"/>
    <item val="Symmetric plots"/>
    <item val="Asymmetric plot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4</xdr:row>
      <xdr:rowOff>0</xdr:rowOff>
    </xdr:from>
    <xdr:to>
      <xdr:col>2</xdr:col>
      <xdr:colOff>38100</xdr:colOff>
      <xdr:row>4</xdr:row>
      <xdr:rowOff>25400</xdr:rowOff>
    </xdr:to>
    <xdr:sp macro="" textlink="">
      <xdr:nvSpPr>
        <xdr:cNvPr id="2" name="TX578519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49960" y="822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RunProcCAN
Form3.txt
CheckBoxLabels,CheckBox,-1,True,000000000001_General,True,Labels included,False,,,
CheckBox_W,CheckBox,0,False,000000000101_General,False,Weights,False,,,
CheckBoxCos,CheckBox,-1,True,300000000501_Outputs,True,Squared cosines,False,,,
CheckBoxEigen,CheckBox,-1,True,300000000001_Outputs,True,Eigenvalues,False,,,
CheckBoxStdCoord,CheckBox,-1,True,300000000301_Outputs,True,Standard coordinates,False,,,
CheckBoxContrib,CheckBox,-1,True,300000000401_Outputs,True,Contributions,False,,,
CheckBoxCoord,CheckBox,-1,True,300000000201_Outputs,True,Principal coordinates,False,,,
CheckBoxDist,CheckBox,0,True,300000000101_Outputs,True,Chi-square distance,False,,,
TextBoxSuppC,TextBox,4,True,100000000500_Options,True,Supplementary columns:,False,,,
OptionButtonRC,OptionButton,-1,True,100000000700_Options,True,Rows depend on columns,False,,,
CheckBoxNSCA,CheckBox,0,True,100000000600_Options,True,Non-symmetrical analysis,False,,,
OptionButtonCR,OptionButton,0,True,100000000800_Options,True,Columns depend on rows,False,,,
TextBoxSuppR,TextBox,26,True,100000000300_Options,True,Supplementary rows:,False,,,
OptionButtonMVRemove,OptionButton,0,True,200000000300_Missing data,True,Remove the observations,False,,,
OptionButtonMVCat,OptionButton,0,True,200000000400_Missing data,True,Group missing values into a new category,False,,,
OptionButtonReplace0,OptionButton,0,True,200000000100_Missing data,True,Replace missing data by 0,False,,,
OptionButtonMVRefuse,OptionButton,-1,True,200000000000_Missing data,True,Do not accept missing data,False,,,
OptionButtonMVExp,OptionButton,0,True,200000000200_Missing data,True,Replace missing values by their expected value,False,,,
CheckBoxMaxFilter,CheckBox,0,True,100003000201_Options,True,Maximum number,False,,,
TextBoxCompMax,TextBox,5,True,100004000201_Options,True,,False,,,
CheckBoxMinFilter,CheckBox,0,True,100001000201_Options,True,Minimum %,False,,,
TextBoxMinPerc,TextBox,80,True,100002000201_Options,True,,False,,,
SpinButtonCompMax,SpinButton,5,True,100005000201_Options,False,,,,,
CheckBoxSort,CheckBox,-1,True,300000000100_Outputs,True,Sort the categories alphabetically,False,,,
CheckBoxDisj,CheckBox,0,True,300000010000_Outputs,True,Disjunctive table,False,,,
CheckBox_Desc,CheckBox,0,True,300000000000_Outputs,True,Descriptive statistics,False,,,
CheckBox_Cont,CheckBox,0,True,300000000200_Outputs,True,Contingency table,False,,,
CheckBoxInByCell,CheckBox,0,True,300000020200_Outputs,True,Inertia by cell,False,,,
CheckBoxProfiles,CheckBox,0,True,300000030200_Outputs,True,Row and column profiles,False,,,
CheckBoxChartCont,CheckBox,0,True,300000010200_Outputs,True,3D view of the contingency table,False,,,
CheckBoxAsym,CheckBox,-1,True,400000000100_Charts|Maps,True,Asymmetric plots,False,,,
CheckBoxAC,CheckBox,-1,True,400000020100_Charts|Maps,True,Columns,False,,,
CheckBoxAR,CheckBox,-1,True,400000010100_Charts|Maps,True,Rows,False,,,
CheckBoxVectors,CheckBox,0,True,400000030100_Charts|Maps,True,Vectors,False,,,
TextBoxLength,TextBox,1,True,400000050100_Charts|Maps,True,Lengthening factor:,False,,,
CheckBoxSym,CheckBox,-1,True,400000000000_Charts|Maps,True,Symmetric plots,False,,,
CheckBoxSRC,CheckBox,-1,True,400000010000_Charts|Maps,True,Rows and columns,False,,,
CheckBoxSR,CheckBox,0,True,400000020000_Charts|Maps,True,Rows,False,,,
CheckBoxSC,CheckBox,0,True,400000030000_Charts|Maps,True,Columns,False,,,
CheckBoxColorsRow,CheckBox,-1,True,410000010100_Charts|Row options,True,Colored labels,False,,,
CheckBoxDispLabelsRow,CheckBox,-1,True,410000000100_Charts|Row options,True,Row labels,False,,,
TextBoxPointsRow2,TextBox,0.5,True,410000040000_Charts|Row options,True,,False,,,
CheckBoxFilterRow,CheckBox,0,True,410000010000_Charts|Row options,True,Filter rows,False,,,
ComboBoxFilterRow2,ComboBox,4,True,410000020000_Charts|Row options,True,Select the filtering option,False,,,
CheckBoxSizeRow,CheckBox,0,True,410000070000_Charts|Row options,True,Resize row points with Cos2,False,,,
CheckBoxRotation,CheckBox,0,True,100000000301_Options,True,Rotation,False,,,
CheckBoxKaiser,CheckBox,0,True,100000000801_Options,True,Kaiser normalization,False,,,
TextBoxNbFact,TextBox,2,True,100000000501_Options,True,Number of factors:,False,,,
ComboBoxRotation,ComboBox,0,True,100000000701_Options,True,Select the type of rotation,False,,,
CheckBoxChiSq2,CheckBox,-1,True,100000000900_Options,True,Test of independence,False,,,
CheckBoxDisplay2Axes,CheckBox,-1,True,100000000101_Options,True,Display charts on the first two axes,False,,,
ComboBoxSupp2,ComboBox,0,True,100000000100_Options,True,,False,,,
ComboBoxDist2,ComboBox,0,True,100000001300_Options,True,,False,,,
CheckBoxCC,CheckBox,0,True,400000020001_Charts|Maps,True,Columns,False,,,
CheckBoxCR,CheckBox,0,True,400000010001_Charts|Maps,True,Rows,False,,,
CheckBoxContribBip,CheckBox,0,True,400000000001_Charts|Maps,True,Contribution biplot,False,,,
CheckBoxConfRegion,CheckBox,0,True,400000000101_Charts|Maps,True,Confidence ellipses,False,,,
CheckBoxCEC,CheckBox,0,True,400000020101_Charts|Maps,True,Columns,False,,,
CheckBoxCER,CheckBox,0,True,400000010101_Charts|Maps,True,Rows,False,,,
TextBox_conf,TextBox,5,True,100000001100_Options,True,Significance level (%):,False,,,
CheckBoxDispLabelsCol,CheckBox,-1,True,420000000100_Charts|Column options,True,Column labels,False,,,
TextBoxPointsCol2,TextBox,0.5,True,420000040000_Charts|Column options,True,,False,,,
CheckBoxFilterCol,CheckBox,0,True,420000010000_Charts|Column options,True,Filter columns,False,,,
ComboBoxFilterCol2,ComboBox,4,True,420000020000_Charts|Column options,True,Select the filtering option,False,,,
CheckBoxSizeCol,CheckBox,0,True,420000070000_Charts|Column options,True,Resize column points with Cos2,False,,,
CheckBoxColors,CheckBox,-1,False,400000010301_Charts|Maps,False,Colored labels,False,,,
CheckBoxDispLabels,CheckBox,-1,False,400000000301_Charts|Maps,False,Labels,False,,,
CheckBoxChartRot,CheckBox,-1,True,400000000201_Charts|Maps,True,Rotation plots,False,,,
CheckBoxTrans,CheckBox,0,False,01,False,Trans,False,,,
TextBoxList,TextBox,,False,03,False,,False,,,
CheckBoxColorsCol,CheckBox,-1,True,420000010100_Charts|Column options,True,Colored labels,False,,,
FileSelect1,CommandButton,,False,000000000200_General,False,RefEditT,False,,,
ScrollBarSelect,ScrollBar,0,False,02,False,,,,,
ComboBox_Format,ComboBox,0,True,000000010300_General,True,,False,,,
RefEdit_W,TextBox,,False,000000000201_General,False,Weights:,False,,,
RefEditGroupFilterRow,TextBox,,True,410000060000_Charts|Row options,True,Group variable:,False,,,
RefEditGroupFilterCol,TextBox,,True,420000060000_Charts|Column options,True,Group variable:,False,,,
RefEditT,TextBox,'</a:t>
          </a:r>
          <a:r>
            <a:rPr lang="zh-TW" altLang="en-US" sz="1100"/>
            <a:t>工作表</a:t>
          </a:r>
          <a:r>
            <a:rPr lang="en-US" altLang="zh-TW" sz="1100"/>
            <a:t>3'!$A$1:$F$6,True,000000000100_General,True,,False,,6,6
CheckBox_SV,CheckBox,0,False,10,False,SV,False,,,
OptionButton_R,OptionButton,0,True,0011,True,Range,False,,,
RefEdit_R,TextBox,,True,0111,True,Range:,False,,,
OptionButton_S,OptionButton,-1,True,0211,True,Sheet,False,,,
OptionButton_W,OptionButton,0,True,0311,True,Workbook,False,,,
ComboBoxRot,ComboBox,0,True,100000000901_Options,True,Based on:,False,,,
CheckBoxDisplay2Axes_SV,CheckBox,-1,False,000000000301_General,False,Display charts on the first two axes,False,,,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4</xdr:row>
      <xdr:rowOff>6350</xdr:rowOff>
    </xdr:from>
    <xdr:to>
      <xdr:col>4</xdr:col>
      <xdr:colOff>6350</xdr:colOff>
      <xdr:row>4</xdr:row>
      <xdr:rowOff>470535</xdr:rowOff>
    </xdr:to>
    <xdr:sp macro="" textlink="">
      <xdr:nvSpPr>
        <xdr:cNvPr id="3" name="BK57851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4010" y="8293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66040</xdr:colOff>
      <xdr:row>4</xdr:row>
      <xdr:rowOff>53975</xdr:rowOff>
    </xdr:from>
    <xdr:to>
      <xdr:col>1</xdr:col>
      <xdr:colOff>427990</xdr:colOff>
      <xdr:row>4</xdr:row>
      <xdr:rowOff>415925</xdr:rowOff>
    </xdr:to>
    <xdr:pic macro="[0]!ReRunXLSTAT">
      <xdr:nvPicPr>
        <xdr:cNvPr id="4" name="BT57851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" y="8769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5" name="RM57851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280" y="8769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4</xdr:row>
      <xdr:rowOff>53975</xdr:rowOff>
    </xdr:from>
    <xdr:to>
      <xdr:col>2</xdr:col>
      <xdr:colOff>267970</xdr:colOff>
      <xdr:row>4</xdr:row>
      <xdr:rowOff>415925</xdr:rowOff>
    </xdr:to>
    <xdr:pic macro="[0]!AddRemovGrid">
      <xdr:nvPicPr>
        <xdr:cNvPr id="6" name="AD578519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280" y="8769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4</xdr:row>
      <xdr:rowOff>53975</xdr:rowOff>
    </xdr:from>
    <xdr:to>
      <xdr:col>3</xdr:col>
      <xdr:colOff>107950</xdr:colOff>
      <xdr:row>4</xdr:row>
      <xdr:rowOff>415925</xdr:rowOff>
    </xdr:to>
    <xdr:pic macro="[0]!SendToOfficeLocal">
      <xdr:nvPicPr>
        <xdr:cNvPr id="7" name="WD5785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860" y="87693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4</xdr:row>
      <xdr:rowOff>53975</xdr:rowOff>
    </xdr:from>
    <xdr:to>
      <xdr:col>3</xdr:col>
      <xdr:colOff>557530</xdr:colOff>
      <xdr:row>4</xdr:row>
      <xdr:rowOff>415925</xdr:rowOff>
    </xdr:to>
    <xdr:pic macro="[0]!SendToOfficeLocal">
      <xdr:nvPicPr>
        <xdr:cNvPr id="8" name="PT57851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440" y="87693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12700</xdr:colOff>
      <xdr:row>74</xdr:row>
      <xdr:rowOff>0</xdr:rowOff>
    </xdr:from>
    <xdr:to>
      <xdr:col>1</xdr:col>
      <xdr:colOff>38100</xdr:colOff>
      <xdr:row>74</xdr:row>
      <xdr:rowOff>25400</xdr:rowOff>
    </xdr:to>
    <xdr:sp macro="" textlink="">
      <xdr:nvSpPr>
        <xdr:cNvPr id="10" name="TX969174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0360" y="1576578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RefEditT,RefEdit0,'XLSTAT_20250601_150855_1'!$C$67:$E$72,,,,,,
RefEdit_ObsLabels,RefEdit0,'XLSTAT_20250601_150855_1'!$B$67:$B$72,,,,,,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73</xdr:row>
      <xdr:rowOff>25399</xdr:rowOff>
    </xdr:from>
    <xdr:to>
      <xdr:col>1</xdr:col>
      <xdr:colOff>386079</xdr:colOff>
      <xdr:row>74</xdr:row>
      <xdr:rowOff>180339</xdr:rowOff>
    </xdr:to>
    <xdr:pic macro="[0]!ReRunXLSTAT">
      <xdr:nvPicPr>
        <xdr:cNvPr id="11" name="BT96917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59" y="15585439"/>
          <a:ext cx="360680" cy="36068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12700</xdr:colOff>
      <xdr:row>129</xdr:row>
      <xdr:rowOff>1</xdr:rowOff>
    </xdr:from>
    <xdr:to>
      <xdr:col>1</xdr:col>
      <xdr:colOff>38100</xdr:colOff>
      <xdr:row>129</xdr:row>
      <xdr:rowOff>25401</xdr:rowOff>
    </xdr:to>
    <xdr:sp macro="" textlink="">
      <xdr:nvSpPr>
        <xdr:cNvPr id="12" name="TX540443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40360" y="27569161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RunProcHAC
Form17.txt
RefEditT,RefEdit0,'XLSTAT_20250601_150855_1'!$C$122:$E$127,,,,,,
RefEdit_ObsLabels,RefEdit0,'XLSTAT_20250601_150855_1'!$B$122:$B$127,,,,,,
CheckBoxVarLabels,CheckBox,True,,,,,,
CheckBox_ObsLabels,CheckBox,True,,,,,,
</a:t>
          </a:r>
          <a:endParaRPr lang="zh-TW" altLang="en-US" sz="1100"/>
        </a:p>
      </xdr:txBody>
    </xdr:sp>
    <xdr:clientData/>
  </xdr:twoCellAnchor>
  <xdr:twoCellAnchor editAs="oneCell">
    <xdr:from>
      <xdr:col>1</xdr:col>
      <xdr:colOff>25399</xdr:colOff>
      <xdr:row>128</xdr:row>
      <xdr:rowOff>25401</xdr:rowOff>
    </xdr:from>
    <xdr:to>
      <xdr:col>1</xdr:col>
      <xdr:colOff>386079</xdr:colOff>
      <xdr:row>129</xdr:row>
      <xdr:rowOff>180341</xdr:rowOff>
    </xdr:to>
    <xdr:pic macro="[0]!ReRunXLSTAT">
      <xdr:nvPicPr>
        <xdr:cNvPr id="13" name="BT54044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59" y="27388821"/>
          <a:ext cx="360680" cy="36068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164</xdr:row>
      <xdr:rowOff>1</xdr:rowOff>
    </xdr:from>
    <xdr:to>
      <xdr:col>7</xdr:col>
      <xdr:colOff>0</xdr:colOff>
      <xdr:row>180</xdr:row>
      <xdr:rowOff>1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28575</xdr:colOff>
      <xdr:row>164</xdr:row>
      <xdr:rowOff>6351</xdr:rowOff>
    </xdr:from>
    <xdr:to>
      <xdr:col>0</xdr:col>
      <xdr:colOff>308610</xdr:colOff>
      <xdr:row>165</xdr:row>
      <xdr:rowOff>80646</xdr:rowOff>
    </xdr:to>
    <xdr:pic macro="[0]!SendToZenplot">
      <xdr:nvPicPr>
        <xdr:cNvPr id="15" name="zenplot_Chart 1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" y="35027871"/>
          <a:ext cx="280035" cy="28003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184</xdr:row>
      <xdr:rowOff>1</xdr:rowOff>
    </xdr:from>
    <xdr:to>
      <xdr:col>7</xdr:col>
      <xdr:colOff>0</xdr:colOff>
      <xdr:row>200</xdr:row>
      <xdr:rowOff>1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28575</xdr:colOff>
      <xdr:row>184</xdr:row>
      <xdr:rowOff>6351</xdr:rowOff>
    </xdr:from>
    <xdr:to>
      <xdr:col>0</xdr:col>
      <xdr:colOff>308610</xdr:colOff>
      <xdr:row>185</xdr:row>
      <xdr:rowOff>80646</xdr:rowOff>
    </xdr:to>
    <xdr:pic macro="[0]!SendToZenplot">
      <xdr:nvPicPr>
        <xdr:cNvPr id="17" name="zenplot_Chart 1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" y="39142671"/>
          <a:ext cx="280035" cy="28003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201</xdr:row>
      <xdr:rowOff>205739</xdr:rowOff>
    </xdr:from>
    <xdr:to>
      <xdr:col>7</xdr:col>
      <xdr:colOff>0</xdr:colOff>
      <xdr:row>217</xdr:row>
      <xdr:rowOff>205739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28575</xdr:colOff>
      <xdr:row>202</xdr:row>
      <xdr:rowOff>6349</xdr:rowOff>
    </xdr:from>
    <xdr:to>
      <xdr:col>0</xdr:col>
      <xdr:colOff>308610</xdr:colOff>
      <xdr:row>203</xdr:row>
      <xdr:rowOff>80644</xdr:rowOff>
    </xdr:to>
    <xdr:pic macro="[0]!SendToZenplot">
      <xdr:nvPicPr>
        <xdr:cNvPr id="19" name="zenplot_Chart 17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" y="42845989"/>
          <a:ext cx="280035" cy="280035"/>
        </a:xfrm>
        <a:prstGeom prst="rect">
          <a:avLst/>
        </a:prstGeom>
      </xdr:spPr>
    </xdr:pic>
    <xdr:clientData/>
  </xdr:twoCellAnchor>
  <xdr:twoCellAnchor editAs="oneCell">
    <xdr:from>
      <xdr:col>0</xdr:col>
      <xdr:colOff>314960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20" name="XP578519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31496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CA*SEP*Test of independence between the rows and the columns*SEP*$B$9
CA*SEP*Eigenvalues and percentages of inertia*SEP*$B$27
CA*SEP*Results for the rows*SEP*$B$53
CA*SEP*Weights, distances and squared distances to the origin, inertias and relative inertias (rows)*SEP*$B$55
CA*SEP*Principal coordinates (rows)*SEP*$B$65
CA*SEP*Standard coordinates (rows)*SEP*$B$78
CA*SEP*Contributions (rows)*SEP*$B$88
CA*SEP*Squared cosines (rows)*SEP*$B$98
CA*SEP*Results for the columns*SEP*$B$108
CA*SEP*Weights, distances and squared distances to the origin, inertias and relative inertias (columns)*SEP*$B$110
CA*SEP*Principal coordinates (columns)*SEP*$B$120
CA*SEP*Standard coordinates (columns)*SEP*$B$133
CA*SEP*Contributions (columns)*SEP*$B$143
CA*SEP*Squared cosines (columns)*SEP*$B$153
CA*SEP*Symmetric plots*SEP*$B$163
CA*SEP*Asymmetric plots*SEP*$B$183</a:t>
          </a:r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9</xdr:col>
          <xdr:colOff>0</xdr:colOff>
          <xdr:row>6</xdr:row>
          <xdr:rowOff>0</xdr:rowOff>
        </xdr:to>
        <xdr:sp macro="" textlink="">
          <xdr:nvSpPr>
            <xdr:cNvPr id="5121" name="DD206779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468630</xdr:colOff>
      <xdr:row>0</xdr:row>
      <xdr:rowOff>190500</xdr:rowOff>
    </xdr:from>
    <xdr:to>
      <xdr:col>17</xdr:col>
      <xdr:colOff>594360</xdr:colOff>
      <xdr:row>25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6CBC-5C99-4907-9786-FB22CBFD17F8}">
  <sheetPr codeName="工作表3"/>
  <dimension ref="A1:F6"/>
  <sheetViews>
    <sheetView tabSelected="1" zoomScale="227" zoomScaleNormal="227" workbookViewId="0">
      <selection activeCell="H11" sqref="H11"/>
    </sheetView>
  </sheetViews>
  <sheetFormatPr defaultRowHeight="16.2"/>
  <sheetData>
    <row r="1" spans="1:6" ht="16.8" thickBot="1">
      <c r="A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2" t="s">
        <v>3</v>
      </c>
      <c r="B2" s="3">
        <v>4.2</v>
      </c>
      <c r="C2" s="4">
        <v>3.92</v>
      </c>
      <c r="D2" s="4">
        <v>3.98</v>
      </c>
      <c r="E2" s="4">
        <v>3.68</v>
      </c>
      <c r="F2" s="5">
        <v>4.07</v>
      </c>
    </row>
    <row r="3" spans="1:6">
      <c r="A3" s="2" t="s">
        <v>4</v>
      </c>
      <c r="B3" s="6">
        <v>4.0999999999999996</v>
      </c>
      <c r="C3">
        <v>3.95</v>
      </c>
      <c r="D3">
        <v>3.98</v>
      </c>
      <c r="E3">
        <v>3.65</v>
      </c>
      <c r="F3" s="7">
        <v>4.04</v>
      </c>
    </row>
    <row r="4" spans="1:6">
      <c r="A4" s="2" t="s">
        <v>5</v>
      </c>
      <c r="B4" s="6">
        <v>4.18</v>
      </c>
      <c r="C4">
        <v>3.2</v>
      </c>
      <c r="D4">
        <v>3.56</v>
      </c>
      <c r="E4">
        <v>3.7</v>
      </c>
      <c r="F4" s="7">
        <v>3.97</v>
      </c>
    </row>
    <row r="5" spans="1:6">
      <c r="A5" s="2" t="s">
        <v>6</v>
      </c>
      <c r="B5" s="6">
        <v>3.05</v>
      </c>
      <c r="C5">
        <v>3.06</v>
      </c>
      <c r="D5">
        <v>3.07</v>
      </c>
      <c r="E5">
        <v>2.77</v>
      </c>
      <c r="F5" s="7">
        <v>3.08</v>
      </c>
    </row>
    <row r="6" spans="1:6" ht="16.8" thickBot="1">
      <c r="A6" s="2" t="s">
        <v>7</v>
      </c>
      <c r="B6" s="8">
        <v>2.99</v>
      </c>
      <c r="C6" s="9">
        <v>3</v>
      </c>
      <c r="D6" s="9">
        <v>3</v>
      </c>
      <c r="E6" s="9">
        <v>2.75</v>
      </c>
      <c r="F6" s="10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9665-5BE1-4283-92FB-D546BF9E4188}">
  <sheetPr codeName="XLSTAT_20250601_150855_1">
    <tabColor rgb="FF007800"/>
  </sheetPr>
  <dimension ref="B1:J218"/>
  <sheetViews>
    <sheetView topLeftCell="A162" zoomScaleNormal="100" workbookViewId="0">
      <selection activeCell="B1" sqref="B1"/>
    </sheetView>
  </sheetViews>
  <sheetFormatPr defaultRowHeight="16.2"/>
  <cols>
    <col min="1" max="1" width="4.77734375" customWidth="1"/>
    <col min="2" max="2" width="8.88671875" customWidth="1"/>
  </cols>
  <sheetData>
    <row r="1" spans="2:3">
      <c r="B1" t="s">
        <v>58</v>
      </c>
    </row>
    <row r="2" spans="2:3">
      <c r="B2" t="s">
        <v>14</v>
      </c>
    </row>
    <row r="3" spans="2:3">
      <c r="B3" t="s">
        <v>15</v>
      </c>
    </row>
    <row r="4" spans="2:3">
      <c r="B4" t="s">
        <v>16</v>
      </c>
    </row>
    <row r="5" spans="2:3" ht="37.950000000000003" customHeight="1"/>
    <row r="6" spans="2:3" ht="16.2" customHeight="1">
      <c r="B6" s="27"/>
    </row>
    <row r="9" spans="2:3">
      <c r="B9" s="12" t="s">
        <v>17</v>
      </c>
    </row>
    <row r="10" spans="2:3" ht="16.8" thickBot="1"/>
    <row r="11" spans="2:3">
      <c r="B11" s="14" t="s">
        <v>18</v>
      </c>
      <c r="C11" s="17">
        <v>0.12151487790061591</v>
      </c>
    </row>
    <row r="12" spans="2:3">
      <c r="B12" s="13" t="s">
        <v>19</v>
      </c>
      <c r="C12" s="18">
        <v>26.296227604867589</v>
      </c>
    </row>
    <row r="13" spans="2:3">
      <c r="B13" s="13" t="s">
        <v>20</v>
      </c>
      <c r="C13" s="16">
        <v>16</v>
      </c>
    </row>
    <row r="14" spans="2:3">
      <c r="B14" s="13" t="s">
        <v>21</v>
      </c>
      <c r="C14" s="19">
        <v>0.99999999999999567</v>
      </c>
    </row>
    <row r="15" spans="2:3" ht="16.8" thickBot="1">
      <c r="B15" s="15" t="s">
        <v>22</v>
      </c>
      <c r="C15" s="20">
        <v>0.05</v>
      </c>
    </row>
    <row r="17" spans="2:10">
      <c r="B17" s="12" t="s">
        <v>23</v>
      </c>
    </row>
    <row r="18" spans="2:10">
      <c r="B18" s="12" t="s">
        <v>24</v>
      </c>
    </row>
    <row r="19" spans="2:10">
      <c r="B19" s="12" t="s">
        <v>25</v>
      </c>
    </row>
    <row r="20" spans="2:10" ht="16.2" customHeight="1">
      <c r="B20" s="51" t="s">
        <v>26</v>
      </c>
      <c r="C20" s="51"/>
      <c r="D20" s="51"/>
      <c r="E20" s="51"/>
      <c r="F20" s="51"/>
      <c r="G20" s="51"/>
      <c r="H20" s="51"/>
      <c r="I20" s="51"/>
      <c r="J20" s="51"/>
    </row>
    <row r="21" spans="2:10">
      <c r="B21" s="51"/>
      <c r="C21" s="51"/>
      <c r="D21" s="51"/>
      <c r="E21" s="51"/>
      <c r="F21" s="51"/>
      <c r="G21" s="51"/>
      <c r="H21" s="51"/>
      <c r="I21" s="51"/>
      <c r="J21" s="51"/>
    </row>
    <row r="24" spans="2:10">
      <c r="B24" t="s">
        <v>27</v>
      </c>
      <c r="C24" s="21">
        <v>1.3815848033003808E-3</v>
      </c>
    </row>
    <row r="27" spans="2:10">
      <c r="B27" s="12" t="s">
        <v>28</v>
      </c>
    </row>
    <row r="28" spans="2:10" ht="16.8" thickBot="1"/>
    <row r="29" spans="2:10">
      <c r="B29" s="22"/>
      <c r="C29" s="23" t="s">
        <v>29</v>
      </c>
      <c r="D29" s="23" t="s">
        <v>30</v>
      </c>
      <c r="E29" s="23" t="s">
        <v>31</v>
      </c>
    </row>
    <row r="30" spans="2:10">
      <c r="B30" s="24" t="s">
        <v>32</v>
      </c>
      <c r="C30" s="25">
        <v>1.3560495278059736E-3</v>
      </c>
      <c r="D30" s="25">
        <v>2.2943289937470951E-5</v>
      </c>
      <c r="E30" s="25">
        <v>2.5919855569361061E-6</v>
      </c>
    </row>
    <row r="31" spans="2:10">
      <c r="B31" s="13" t="s">
        <v>33</v>
      </c>
      <c r="C31" s="18">
        <v>98.148109952494011</v>
      </c>
      <c r="D31" s="18">
        <v>1.6605887154418495</v>
      </c>
      <c r="E31" s="18">
        <v>0.187602648886318</v>
      </c>
    </row>
    <row r="32" spans="2:10" ht="16.8" thickBot="1">
      <c r="B32" s="15" t="s">
        <v>34</v>
      </c>
      <c r="C32" s="26">
        <v>98.148109952494011</v>
      </c>
      <c r="D32" s="26">
        <v>99.808698667935857</v>
      </c>
      <c r="E32" s="26">
        <v>99.996301316822169</v>
      </c>
    </row>
    <row r="50" spans="2:7">
      <c r="G50" t="s">
        <v>35</v>
      </c>
    </row>
    <row r="53" spans="2:7">
      <c r="B53" s="11" t="s">
        <v>36</v>
      </c>
    </row>
    <row r="55" spans="2:7">
      <c r="B55" s="12" t="s">
        <v>37</v>
      </c>
    </row>
    <row r="56" spans="2:7" ht="16.8" thickBot="1"/>
    <row r="57" spans="2:7" ht="32.4">
      <c r="B57" s="22"/>
      <c r="C57" s="23" t="s">
        <v>38</v>
      </c>
      <c r="D57" s="23" t="s">
        <v>39</v>
      </c>
      <c r="E57" s="23" t="s">
        <v>40</v>
      </c>
      <c r="F57" s="23" t="s">
        <v>41</v>
      </c>
      <c r="G57" s="23" t="s">
        <v>42</v>
      </c>
    </row>
    <row r="58" spans="2:7">
      <c r="B58" s="24" t="s">
        <v>3</v>
      </c>
      <c r="C58" s="25">
        <v>0.22569641841955662</v>
      </c>
      <c r="D58" s="25">
        <v>9.7531567477523139E-3</v>
      </c>
      <c r="E58" s="25">
        <v>9.5124066546226489E-5</v>
      </c>
      <c r="F58" s="25">
        <v>2.1469161124986882E-5</v>
      </c>
      <c r="G58" s="25">
        <v>1.5539517424989444E-2</v>
      </c>
    </row>
    <row r="59" spans="2:7">
      <c r="B59" s="13" t="s">
        <v>4</v>
      </c>
      <c r="C59" s="18">
        <v>0.22421830585559982</v>
      </c>
      <c r="D59" s="18">
        <v>1.6449934254787704E-2</v>
      </c>
      <c r="E59" s="18">
        <v>2.7060033698683792E-4</v>
      </c>
      <c r="F59" s="18">
        <v>6.0673549123143203E-5</v>
      </c>
      <c r="G59" s="18">
        <v>4.3915906557602538E-2</v>
      </c>
    </row>
    <row r="60" spans="2:7">
      <c r="B60" s="13" t="s">
        <v>5</v>
      </c>
      <c r="C60" s="18">
        <v>0.21159749857873797</v>
      </c>
      <c r="D60" s="18">
        <v>6.9403526890384884E-2</v>
      </c>
      <c r="E60" s="18">
        <v>4.8168495448243781E-3</v>
      </c>
      <c r="F60" s="18">
        <v>1.0192333147149709E-3</v>
      </c>
      <c r="G60" s="18">
        <v>0.73772765325746836</v>
      </c>
    </row>
    <row r="61" spans="2:7">
      <c r="B61" s="13" t="s">
        <v>6</v>
      </c>
      <c r="C61" s="18">
        <v>0.17089255258669703</v>
      </c>
      <c r="D61" s="18">
        <v>2.931941735370135E-2</v>
      </c>
      <c r="E61" s="18">
        <v>8.5962823396052378E-4</v>
      </c>
      <c r="F61" s="18">
        <v>1.4690406317710829E-4</v>
      </c>
      <c r="G61" s="18">
        <v>0.10633010932530414</v>
      </c>
    </row>
    <row r="62" spans="2:7" ht="16.8" thickBot="1">
      <c r="B62" s="15" t="s">
        <v>7</v>
      </c>
      <c r="C62" s="26">
        <v>0.16759522455940878</v>
      </c>
      <c r="D62" s="26">
        <v>2.8202781046814639E-2</v>
      </c>
      <c r="E62" s="26">
        <v>7.9539685877456695E-4</v>
      </c>
      <c r="F62" s="26">
        <v>1.3330471516017191E-4</v>
      </c>
      <c r="G62" s="26">
        <v>9.6486813434635846E-2</v>
      </c>
    </row>
    <row r="65" spans="2:5">
      <c r="B65" s="12" t="s">
        <v>43</v>
      </c>
    </row>
    <row r="66" spans="2:5" ht="16.8" thickBot="1"/>
    <row r="67" spans="2:5">
      <c r="B67" s="22"/>
      <c r="C67" s="23" t="s">
        <v>29</v>
      </c>
      <c r="D67" s="23" t="s">
        <v>30</v>
      </c>
      <c r="E67" s="23" t="s">
        <v>31</v>
      </c>
    </row>
    <row r="68" spans="2:5">
      <c r="B68" s="24" t="s">
        <v>3</v>
      </c>
      <c r="C68" s="25">
        <v>-6.6804733716092435E-3</v>
      </c>
      <c r="D68" s="25">
        <v>7.0803588910505807E-3</v>
      </c>
      <c r="E68" s="25">
        <v>-6.0320813270985389E-4</v>
      </c>
    </row>
    <row r="69" spans="2:5">
      <c r="B69" s="13" t="s">
        <v>4</v>
      </c>
      <c r="C69" s="18">
        <v>-1.6267213591438717E-2</v>
      </c>
      <c r="D69" s="18">
        <v>2.4386759851034211E-3</v>
      </c>
      <c r="E69" s="18">
        <v>1.7594998445386636E-4</v>
      </c>
    </row>
    <row r="70" spans="2:5">
      <c r="B70" s="13" t="s">
        <v>5</v>
      </c>
      <c r="C70" s="18">
        <v>6.9375720642299604E-2</v>
      </c>
      <c r="D70" s="18">
        <v>-1.9583168564610573E-3</v>
      </c>
      <c r="E70" s="18">
        <v>1.5467797413867186E-4</v>
      </c>
    </row>
    <row r="71" spans="2:5">
      <c r="B71" s="13" t="s">
        <v>6</v>
      </c>
      <c r="C71" s="18">
        <v>-2.8935955728824823E-2</v>
      </c>
      <c r="D71" s="18">
        <v>-3.7532262994260184E-3</v>
      </c>
      <c r="E71" s="18">
        <v>2.8726281286150803E-3</v>
      </c>
    </row>
    <row r="72" spans="2:5" ht="16.8" thickBot="1">
      <c r="B72" s="15" t="s">
        <v>7</v>
      </c>
      <c r="C72" s="26">
        <v>-2.7325501906332584E-2</v>
      </c>
      <c r="D72" s="26">
        <v>-6.4980017933838688E-3</v>
      </c>
      <c r="E72" s="26">
        <v>-2.5475040794395668E-3</v>
      </c>
    </row>
    <row r="73" spans="2:5">
      <c r="B73" s="4"/>
      <c r="C73" s="4"/>
      <c r="D73" s="4"/>
      <c r="E73" s="4"/>
    </row>
    <row r="78" spans="2:5">
      <c r="B78" s="12" t="s">
        <v>44</v>
      </c>
    </row>
    <row r="79" spans="2:5" ht="16.8" thickBot="1"/>
    <row r="80" spans="2:5">
      <c r="B80" s="22"/>
      <c r="C80" s="23" t="s">
        <v>29</v>
      </c>
      <c r="D80" s="23" t="s">
        <v>30</v>
      </c>
      <c r="E80" s="23" t="s">
        <v>31</v>
      </c>
    </row>
    <row r="81" spans="2:6">
      <c r="B81" s="24" t="s">
        <v>3</v>
      </c>
      <c r="C81" s="25">
        <v>-0.18141344114415814</v>
      </c>
      <c r="D81" s="25">
        <v>1.4781803514922718</v>
      </c>
      <c r="E81" s="25">
        <v>-0.37467170756861012</v>
      </c>
    </row>
    <row r="82" spans="2:6">
      <c r="B82" s="13" t="s">
        <v>4</v>
      </c>
      <c r="C82" s="18">
        <v>-0.44174881498540208</v>
      </c>
      <c r="D82" s="18">
        <v>0.50912714740948084</v>
      </c>
      <c r="E82" s="18">
        <v>0.10928811723052487</v>
      </c>
    </row>
    <row r="83" spans="2:6">
      <c r="B83" s="13" t="s">
        <v>5</v>
      </c>
      <c r="C83" s="18">
        <v>1.8839515575441383</v>
      </c>
      <c r="D83" s="18">
        <v>-0.40884163412616575</v>
      </c>
      <c r="E83" s="18">
        <v>9.6075396784587791E-2</v>
      </c>
    </row>
    <row r="84" spans="2:6">
      <c r="B84" s="13" t="s">
        <v>6</v>
      </c>
      <c r="C84" s="18">
        <v>-0.78577834377275857</v>
      </c>
      <c r="D84" s="18">
        <v>-0.78356838345130675</v>
      </c>
      <c r="E84" s="18">
        <v>1.7842804627362925</v>
      </c>
    </row>
    <row r="85" spans="2:6" ht="16.8" thickBot="1">
      <c r="B85" s="15" t="s">
        <v>7</v>
      </c>
      <c r="C85" s="26">
        <v>-0.7420452198621541</v>
      </c>
      <c r="D85" s="26">
        <v>-1.3566005230444413</v>
      </c>
      <c r="E85" s="26">
        <v>-1.5823356014676466</v>
      </c>
    </row>
    <row r="86" spans="2:6">
      <c r="B86" s="4"/>
      <c r="C86" s="4"/>
      <c r="D86" s="4"/>
      <c r="E86" s="4"/>
    </row>
    <row r="88" spans="2:6">
      <c r="B88" s="12" t="s">
        <v>45</v>
      </c>
    </row>
    <row r="89" spans="2:6" ht="16.8" thickBot="1"/>
    <row r="90" spans="2:6" ht="32.4">
      <c r="B90" s="22"/>
      <c r="C90" s="23" t="s">
        <v>38</v>
      </c>
      <c r="D90" s="23" t="s">
        <v>29</v>
      </c>
      <c r="E90" s="23" t="s">
        <v>30</v>
      </c>
      <c r="F90" s="23" t="s">
        <v>31</v>
      </c>
    </row>
    <row r="91" spans="2:6">
      <c r="B91" s="24" t="s">
        <v>3</v>
      </c>
      <c r="C91" s="25">
        <v>0.22569641841955662</v>
      </c>
      <c r="D91" s="25">
        <v>7.4278579540777035E-3</v>
      </c>
      <c r="E91" s="25">
        <v>0.49315054528738667</v>
      </c>
      <c r="F91" s="25">
        <v>3.1683012345420182E-2</v>
      </c>
    </row>
    <row r="92" spans="2:6">
      <c r="B92" s="13" t="s">
        <v>4</v>
      </c>
      <c r="C92" s="18">
        <v>0.22421830585559982</v>
      </c>
      <c r="D92" s="18">
        <v>4.3754412125851717E-2</v>
      </c>
      <c r="E92" s="18">
        <v>5.8119728458920931E-2</v>
      </c>
      <c r="F92" s="18">
        <v>2.6780393568718239E-3</v>
      </c>
    </row>
    <row r="93" spans="2:6">
      <c r="B93" s="13" t="s">
        <v>5</v>
      </c>
      <c r="C93" s="18">
        <v>0.21159749857873797</v>
      </c>
      <c r="D93" s="18">
        <v>0.75101738827207809</v>
      </c>
      <c r="E93" s="18">
        <v>3.5368835431541637E-2</v>
      </c>
      <c r="F93" s="18">
        <v>1.9531468738004602E-3</v>
      </c>
    </row>
    <row r="94" spans="2:6">
      <c r="B94" s="13" t="s">
        <v>6</v>
      </c>
      <c r="C94" s="18">
        <v>0.17089255258669703</v>
      </c>
      <c r="D94" s="18">
        <v>0.10551719739966074</v>
      </c>
      <c r="E94" s="18">
        <v>0.10492450887451674</v>
      </c>
      <c r="F94" s="18">
        <v>0.5440632319343679</v>
      </c>
    </row>
    <row r="95" spans="2:6" ht="16.8" thickBot="1">
      <c r="B95" s="15" t="s">
        <v>7</v>
      </c>
      <c r="C95" s="26">
        <v>0.16759522455940878</v>
      </c>
      <c r="D95" s="26">
        <v>9.2283144248332255E-2</v>
      </c>
      <c r="E95" s="26">
        <v>0.30843638194763418</v>
      </c>
      <c r="F95" s="26">
        <v>0.41962256948953924</v>
      </c>
    </row>
    <row r="96" spans="2:6">
      <c r="B96" s="4"/>
      <c r="C96" s="4"/>
      <c r="D96" s="4"/>
      <c r="E96" s="4"/>
      <c r="F96" s="4"/>
    </row>
    <row r="98" spans="2:7">
      <c r="B98" s="12" t="s">
        <v>46</v>
      </c>
    </row>
    <row r="99" spans="2:7" ht="16.8" thickBot="1"/>
    <row r="100" spans="2:7">
      <c r="B100" s="22"/>
      <c r="C100" s="23" t="s">
        <v>29</v>
      </c>
      <c r="D100" s="23" t="s">
        <v>30</v>
      </c>
      <c r="E100" s="23" t="s">
        <v>31</v>
      </c>
    </row>
    <row r="101" spans="2:7">
      <c r="B101" s="24" t="s">
        <v>3</v>
      </c>
      <c r="C101" s="25">
        <v>0.46916333677863109</v>
      </c>
      <c r="D101" s="25">
        <v>0.52701155287255419</v>
      </c>
      <c r="E101" s="25">
        <v>3.8251103488146955E-3</v>
      </c>
    </row>
    <row r="102" spans="2:7">
      <c r="B102" s="13" t="s">
        <v>4</v>
      </c>
      <c r="C102" s="18">
        <v>0.97790801362660451</v>
      </c>
      <c r="D102" s="18">
        <v>2.1977580022782498E-2</v>
      </c>
      <c r="E102" s="18">
        <v>1.144063506130136E-4</v>
      </c>
    </row>
    <row r="103" spans="2:7">
      <c r="B103" s="13" t="s">
        <v>5</v>
      </c>
      <c r="C103" s="18">
        <v>0.99919886844086103</v>
      </c>
      <c r="D103" s="18">
        <v>7.9616456246181999E-4</v>
      </c>
      <c r="E103" s="18">
        <v>4.9669966771851823E-6</v>
      </c>
    </row>
    <row r="104" spans="2:7">
      <c r="B104" s="13" t="s">
        <v>6</v>
      </c>
      <c r="C104" s="18">
        <v>0.97401353383067268</v>
      </c>
      <c r="D104" s="18">
        <v>1.6386976483778477E-2</v>
      </c>
      <c r="E104" s="18">
        <v>9.5994896855487993E-3</v>
      </c>
    </row>
    <row r="105" spans="2:7" ht="16.8" thickBot="1">
      <c r="B105" s="15" t="s">
        <v>7</v>
      </c>
      <c r="C105" s="26">
        <v>0.9387553473411594</v>
      </c>
      <c r="D105" s="26">
        <v>5.3085484108992685E-2</v>
      </c>
      <c r="E105" s="26">
        <v>8.15916854984787E-3</v>
      </c>
    </row>
    <row r="106" spans="2:7">
      <c r="B106" s="4"/>
      <c r="C106" s="4"/>
      <c r="D106" s="4"/>
      <c r="E106" s="4"/>
    </row>
    <row r="108" spans="2:7">
      <c r="B108" s="11" t="s">
        <v>47</v>
      </c>
    </row>
    <row r="110" spans="2:7">
      <c r="B110" s="12" t="s">
        <v>48</v>
      </c>
    </row>
    <row r="111" spans="2:7" ht="16.8" thickBot="1"/>
    <row r="112" spans="2:7" ht="32.4">
      <c r="B112" s="22"/>
      <c r="C112" s="23" t="s">
        <v>38</v>
      </c>
      <c r="D112" s="23" t="s">
        <v>39</v>
      </c>
      <c r="E112" s="23" t="s">
        <v>40</v>
      </c>
      <c r="F112" s="23" t="s">
        <v>41</v>
      </c>
      <c r="G112" s="23" t="s">
        <v>42</v>
      </c>
    </row>
    <row r="113" spans="2:7">
      <c r="B113" s="24" t="s">
        <v>0</v>
      </c>
      <c r="C113" s="25">
        <v>0.21057418988061402</v>
      </c>
      <c r="D113" s="25">
        <v>3.7843666010991858E-2</v>
      </c>
      <c r="E113" s="25">
        <v>1.4321430571515004E-3</v>
      </c>
      <c r="F113" s="25">
        <v>3.015723640528231E-4</v>
      </c>
      <c r="G113" s="25">
        <v>0.21828002402198976</v>
      </c>
    </row>
    <row r="114" spans="2:7">
      <c r="B114" s="13" t="s">
        <v>49</v>
      </c>
      <c r="C114" s="18">
        <v>0.19476975554292217</v>
      </c>
      <c r="D114" s="18">
        <v>6.1796232002616414E-2</v>
      </c>
      <c r="E114" s="18">
        <v>3.8187742897211933E-3</v>
      </c>
      <c r="F114" s="18">
        <v>7.4378173488259304E-4</v>
      </c>
      <c r="G114" s="18">
        <v>0.53835402148736711</v>
      </c>
    </row>
    <row r="115" spans="2:7">
      <c r="B115" s="13" t="s">
        <v>2</v>
      </c>
      <c r="C115" s="18">
        <v>0.20000000000000004</v>
      </c>
      <c r="D115" s="18">
        <v>2.3460936300682186E-2</v>
      </c>
      <c r="E115" s="18">
        <v>5.5041553210466714E-4</v>
      </c>
      <c r="F115" s="18">
        <v>1.1008310642093345E-4</v>
      </c>
      <c r="G115" s="18">
        <v>7.9678863112827278E-2</v>
      </c>
    </row>
    <row r="116" spans="2:7">
      <c r="B116" s="13" t="s">
        <v>50</v>
      </c>
      <c r="C116" s="18">
        <v>0.18817509948834571</v>
      </c>
      <c r="D116" s="18">
        <v>2.9517351505848746E-2</v>
      </c>
      <c r="E116" s="18">
        <v>8.7127403991983123E-4</v>
      </c>
      <c r="F116" s="18">
        <v>1.6395207914352713E-4</v>
      </c>
      <c r="G116" s="18">
        <v>0.11866957334205787</v>
      </c>
    </row>
    <row r="117" spans="2:7" ht="16.8" thickBot="1">
      <c r="B117" s="15" t="s">
        <v>51</v>
      </c>
      <c r="C117" s="26">
        <v>0.20648095508811828</v>
      </c>
      <c r="D117" s="26">
        <v>1.7355596601610044E-2</v>
      </c>
      <c r="E117" s="26">
        <v>3.0121673339781815E-4</v>
      </c>
      <c r="F117" s="26">
        <v>6.2195518800504588E-5</v>
      </c>
      <c r="G117" s="26">
        <v>4.5017518035758382E-2</v>
      </c>
    </row>
    <row r="120" spans="2:7">
      <c r="B120" s="12" t="s">
        <v>52</v>
      </c>
    </row>
    <row r="121" spans="2:7" ht="16.8" thickBot="1"/>
    <row r="122" spans="2:7">
      <c r="B122" s="22"/>
      <c r="C122" s="23" t="s">
        <v>29</v>
      </c>
      <c r="D122" s="23" t="s">
        <v>30</v>
      </c>
      <c r="E122" s="23" t="s">
        <v>31</v>
      </c>
    </row>
    <row r="123" spans="2:7">
      <c r="B123" s="24" t="s">
        <v>0</v>
      </c>
      <c r="C123" s="25">
        <v>3.7066509740503399E-2</v>
      </c>
      <c r="D123" s="25">
        <v>7.597279512396784E-3</v>
      </c>
      <c r="E123" s="25">
        <v>-7.0587308999782721E-4</v>
      </c>
    </row>
    <row r="124" spans="2:7">
      <c r="B124" s="13" t="s">
        <v>49</v>
      </c>
      <c r="C124" s="18">
        <v>-6.1764209916363437E-2</v>
      </c>
      <c r="D124" s="18">
        <v>1.7341014838892033E-3</v>
      </c>
      <c r="E124" s="18">
        <v>-9.7445121589496877E-4</v>
      </c>
    </row>
    <row r="125" spans="2:7">
      <c r="B125" s="13" t="s">
        <v>2</v>
      </c>
      <c r="C125" s="18">
        <v>-2.3410654321054894E-2</v>
      </c>
      <c r="D125" s="18">
        <v>-1.2136940414491934E-3</v>
      </c>
      <c r="E125" s="18">
        <v>9.4007613441238398E-4</v>
      </c>
    </row>
    <row r="126" spans="2:7">
      <c r="B126" s="13" t="s">
        <v>50</v>
      </c>
      <c r="C126" s="18">
        <v>2.860457751870828E-2</v>
      </c>
      <c r="D126" s="18">
        <v>-6.9989199554718285E-3</v>
      </c>
      <c r="E126" s="18">
        <v>-2.0167558982033913E-3</v>
      </c>
    </row>
    <row r="127" spans="2:7" ht="16.8" thickBot="1">
      <c r="B127" s="15" t="s">
        <v>51</v>
      </c>
      <c r="C127" s="26">
        <v>1.7067004793277326E-2</v>
      </c>
      <c r="D127" s="26">
        <v>-1.8296129700695321E-3</v>
      </c>
      <c r="E127" s="26">
        <v>2.5664366666294947E-3</v>
      </c>
    </row>
    <row r="128" spans="2:7">
      <c r="B128" s="4"/>
      <c r="C128" s="4"/>
      <c r="D128" s="4"/>
      <c r="E128" s="4"/>
    </row>
    <row r="133" spans="2:5">
      <c r="B133" s="12" t="s">
        <v>53</v>
      </c>
    </row>
    <row r="134" spans="2:5" ht="16.8" thickBot="1"/>
    <row r="135" spans="2:5">
      <c r="B135" s="22"/>
      <c r="C135" s="23" t="s">
        <v>29</v>
      </c>
      <c r="D135" s="23" t="s">
        <v>30</v>
      </c>
      <c r="E135" s="23" t="s">
        <v>31</v>
      </c>
    </row>
    <row r="136" spans="2:5">
      <c r="B136" s="24" t="s">
        <v>0</v>
      </c>
      <c r="C136" s="25">
        <v>1.0065698505446421</v>
      </c>
      <c r="D136" s="25">
        <v>1.5860988790009467</v>
      </c>
      <c r="E136" s="25">
        <v>-0.43844016951182063</v>
      </c>
    </row>
    <row r="137" spans="2:5">
      <c r="B137" s="13" t="s">
        <v>49</v>
      </c>
      <c r="C137" s="18">
        <v>-1.6772550741832408</v>
      </c>
      <c r="D137" s="18">
        <v>0.36203175296927198</v>
      </c>
      <c r="E137" s="18">
        <v>-0.6052625639536775</v>
      </c>
    </row>
    <row r="138" spans="2:5">
      <c r="B138" s="13" t="s">
        <v>2</v>
      </c>
      <c r="C138" s="18">
        <v>-0.63573449418538308</v>
      </c>
      <c r="D138" s="18">
        <v>-0.25338527501213187</v>
      </c>
      <c r="E138" s="18">
        <v>0.58391111032020138</v>
      </c>
    </row>
    <row r="139" spans="2:5">
      <c r="B139" s="13" t="s">
        <v>50</v>
      </c>
      <c r="C139" s="18">
        <v>0.77677951119407962</v>
      </c>
      <c r="D139" s="18">
        <v>-1.4611781858857915</v>
      </c>
      <c r="E139" s="18">
        <v>-1.2526710684989857</v>
      </c>
    </row>
    <row r="140" spans="2:5" ht="16.8" thickBot="1">
      <c r="B140" s="15" t="s">
        <v>51</v>
      </c>
      <c r="C140" s="26">
        <v>0.46346776603144346</v>
      </c>
      <c r="D140" s="26">
        <v>-0.38197187244429465</v>
      </c>
      <c r="E140" s="26">
        <v>1.594095231993971</v>
      </c>
    </row>
    <row r="141" spans="2:5">
      <c r="B141" s="4"/>
      <c r="C141" s="4"/>
      <c r="D141" s="4"/>
      <c r="E141" s="4"/>
    </row>
    <row r="143" spans="2:5">
      <c r="B143" s="12" t="s">
        <v>54</v>
      </c>
    </row>
    <row r="144" spans="2:5" ht="16.8" thickBot="1"/>
    <row r="145" spans="2:6" ht="32.4">
      <c r="B145" s="22"/>
      <c r="C145" s="23" t="s">
        <v>38</v>
      </c>
      <c r="D145" s="23" t="s">
        <v>29</v>
      </c>
      <c r="E145" s="23" t="s">
        <v>30</v>
      </c>
      <c r="F145" s="23" t="s">
        <v>31</v>
      </c>
    </row>
    <row r="146" spans="2:6">
      <c r="B146" s="24" t="s">
        <v>0</v>
      </c>
      <c r="C146" s="25">
        <v>0.21057418988061402</v>
      </c>
      <c r="D146" s="25">
        <v>0.21335016079308222</v>
      </c>
      <c r="E146" s="25">
        <v>0.529743522359164</v>
      </c>
      <c r="F146" s="25">
        <v>4.0478630666442077E-2</v>
      </c>
    </row>
    <row r="147" spans="2:6">
      <c r="B147" s="13" t="s">
        <v>49</v>
      </c>
      <c r="C147" s="18">
        <v>0.19476975554292217</v>
      </c>
      <c r="D147" s="18">
        <v>0.54792327369814497</v>
      </c>
      <c r="E147" s="18">
        <v>2.5527885632821025E-2</v>
      </c>
      <c r="F147" s="18">
        <v>7.1352492015649166E-2</v>
      </c>
    </row>
    <row r="148" spans="2:6">
      <c r="B148" s="13" t="s">
        <v>2</v>
      </c>
      <c r="C148" s="18">
        <v>0.20000000000000004</v>
      </c>
      <c r="D148" s="18">
        <v>8.0831669419429E-2</v>
      </c>
      <c r="E148" s="18">
        <v>1.2840819518594745E-2</v>
      </c>
      <c r="F148" s="18">
        <v>6.819043695107406E-2</v>
      </c>
    </row>
    <row r="149" spans="2:6">
      <c r="B149" s="13" t="s">
        <v>50</v>
      </c>
      <c r="C149" s="18">
        <v>0.18817509948834571</v>
      </c>
      <c r="D149" s="18">
        <v>0.11354229754554429</v>
      </c>
      <c r="E149" s="18">
        <v>0.40176168259847139</v>
      </c>
      <c r="F149" s="18">
        <v>0.29528150695725031</v>
      </c>
    </row>
    <row r="150" spans="2:6" ht="16.8" thickBot="1">
      <c r="B150" s="15" t="s">
        <v>51</v>
      </c>
      <c r="C150" s="26">
        <v>0.20648095508811828</v>
      </c>
      <c r="D150" s="26">
        <v>4.4352598543800012E-2</v>
      </c>
      <c r="E150" s="26">
        <v>3.0126089890949236E-2</v>
      </c>
      <c r="F150" s="26">
        <v>0.52469693340958456</v>
      </c>
    </row>
    <row r="151" spans="2:6">
      <c r="B151" s="4"/>
      <c r="C151" s="4"/>
      <c r="D151" s="4"/>
      <c r="E151" s="4"/>
      <c r="F151" s="4"/>
    </row>
    <row r="153" spans="2:6">
      <c r="B153" s="12" t="s">
        <v>55</v>
      </c>
    </row>
    <row r="154" spans="2:6" ht="16.8" thickBot="1"/>
    <row r="155" spans="2:6">
      <c r="B155" s="22"/>
      <c r="C155" s="23" t="s">
        <v>29</v>
      </c>
      <c r="D155" s="23" t="s">
        <v>30</v>
      </c>
      <c r="E155" s="23" t="s">
        <v>31</v>
      </c>
    </row>
    <row r="156" spans="2:6">
      <c r="B156" s="24" t="s">
        <v>0</v>
      </c>
      <c r="C156" s="25">
        <v>0.9593497922445966</v>
      </c>
      <c r="D156" s="25">
        <v>4.0302297805559308E-2</v>
      </c>
      <c r="E156" s="25">
        <v>3.4790994984404845E-4</v>
      </c>
    </row>
    <row r="157" spans="2:6">
      <c r="B157" s="13" t="s">
        <v>49</v>
      </c>
      <c r="C157" s="18">
        <v>0.99896389185942835</v>
      </c>
      <c r="D157" s="18">
        <v>7.8745370327877758E-4</v>
      </c>
      <c r="E157" s="18">
        <v>2.4865443729289103E-4</v>
      </c>
    </row>
    <row r="158" spans="2:6">
      <c r="B158" s="13" t="s">
        <v>2</v>
      </c>
      <c r="C158" s="18">
        <v>0.99571815069293357</v>
      </c>
      <c r="D158" s="18">
        <v>2.676256646713161E-3</v>
      </c>
      <c r="E158" s="18">
        <v>1.6055926603533379E-3</v>
      </c>
    </row>
    <row r="159" spans="2:6">
      <c r="B159" s="13" t="s">
        <v>50</v>
      </c>
      <c r="C159" s="18">
        <v>0.93910964579993506</v>
      </c>
      <c r="D159" s="18">
        <v>5.6222127939917779E-2</v>
      </c>
      <c r="E159" s="18">
        <v>4.6682262601470525E-3</v>
      </c>
    </row>
    <row r="160" spans="2:6" ht="16.8" thickBot="1">
      <c r="B160" s="15" t="s">
        <v>51</v>
      </c>
      <c r="C160" s="26">
        <v>0.96702015631068217</v>
      </c>
      <c r="D160" s="26">
        <v>1.1113206037679253E-2</v>
      </c>
      <c r="E160" s="26">
        <v>2.1866637651638585E-2</v>
      </c>
    </row>
    <row r="161" spans="2:5">
      <c r="B161" s="4"/>
      <c r="C161" s="4"/>
      <c r="D161" s="4"/>
      <c r="E161" s="4"/>
    </row>
    <row r="163" spans="2:5">
      <c r="B163" s="12" t="s">
        <v>56</v>
      </c>
    </row>
    <row r="180" spans="2:7">
      <c r="G180" t="s">
        <v>35</v>
      </c>
    </row>
    <row r="183" spans="2:7">
      <c r="B183" s="12" t="s">
        <v>57</v>
      </c>
    </row>
    <row r="200" spans="7:7">
      <c r="G200" t="s">
        <v>35</v>
      </c>
    </row>
    <row r="218" spans="7:7">
      <c r="G218" t="s">
        <v>35</v>
      </c>
    </row>
  </sheetData>
  <mergeCells count="1">
    <mergeCell ref="B20:J21"/>
  </mergeCells>
  <phoneticPr fontId="1" type="noConversion"/>
  <pageMargins left="0.7" right="0.7" top="0.75" bottom="0.75" header="0.3" footer="0.3"/>
  <pageSetup paperSize="9" orientation="portrait" r:id="rId1"/>
  <ignoredErrors>
    <ignoredError sqref="A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D206779">
              <controlPr defaultSize="0" autoFill="0" autoPict="0" macro="[0]!GoToResultsNew2025060115091974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9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831B-ECC9-45F9-8A64-2FBA42750527}">
  <sheetPr codeName="XLSTAT_20250601_150855_1_HID2"/>
  <dimension ref="A1:D5"/>
  <sheetViews>
    <sheetView workbookViewId="0">
      <selection activeCell="C1" sqref="C1"/>
    </sheetView>
  </sheetViews>
  <sheetFormatPr defaultRowHeight="16.2"/>
  <sheetData>
    <row r="1" spans="1:4">
      <c r="A1">
        <v>3.7066509740503399E-2</v>
      </c>
      <c r="B1">
        <v>7.597279512396784E-3</v>
      </c>
      <c r="C1">
        <v>-0.18141344114415814</v>
      </c>
      <c r="D1">
        <v>1.4781803514922718</v>
      </c>
    </row>
    <row r="2" spans="1:4">
      <c r="A2">
        <v>-6.1764209916363437E-2</v>
      </c>
      <c r="B2">
        <v>1.7341014838892033E-3</v>
      </c>
      <c r="C2">
        <v>-0.44174881498540208</v>
      </c>
      <c r="D2">
        <v>0.50912714740948084</v>
      </c>
    </row>
    <row r="3" spans="1:4">
      <c r="A3">
        <v>-2.3410654321054894E-2</v>
      </c>
      <c r="B3">
        <v>-1.2136940414491934E-3</v>
      </c>
      <c r="C3">
        <v>1.8839515575441383</v>
      </c>
      <c r="D3">
        <v>-0.40884163412616575</v>
      </c>
    </row>
    <row r="4" spans="1:4">
      <c r="A4">
        <v>2.860457751870828E-2</v>
      </c>
      <c r="B4">
        <v>-6.9989199554718285E-3</v>
      </c>
      <c r="C4">
        <v>-0.78577834377275857</v>
      </c>
      <c r="D4">
        <v>-0.78356838345130675</v>
      </c>
    </row>
    <row r="5" spans="1:4">
      <c r="A5">
        <v>1.7067004793277326E-2</v>
      </c>
      <c r="B5">
        <v>-1.8296129700695321E-3</v>
      </c>
      <c r="C5">
        <v>-0.7420452198621541</v>
      </c>
      <c r="D5">
        <v>-1.3566005230444413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4101-3988-4229-BD19-2C50B468D42E}">
  <sheetPr codeName="XLSTAT_20250601_150855_1_HID1"/>
  <dimension ref="A1:D5"/>
  <sheetViews>
    <sheetView workbookViewId="0">
      <selection activeCell="C1" sqref="C1"/>
    </sheetView>
  </sheetViews>
  <sheetFormatPr defaultRowHeight="16.2"/>
  <sheetData>
    <row r="1" spans="1:4">
      <c r="A1">
        <v>1.0065698505446421</v>
      </c>
      <c r="B1">
        <v>1.5860988790009467</v>
      </c>
      <c r="C1">
        <v>-6.6804733716092435E-3</v>
      </c>
      <c r="D1">
        <v>7.0803588910505807E-3</v>
      </c>
    </row>
    <row r="2" spans="1:4">
      <c r="A2">
        <v>-1.6772550741832408</v>
      </c>
      <c r="B2">
        <v>0.36203175296927198</v>
      </c>
      <c r="C2">
        <v>-1.6267213591438717E-2</v>
      </c>
      <c r="D2">
        <v>2.4386759851034211E-3</v>
      </c>
    </row>
    <row r="3" spans="1:4">
      <c r="A3">
        <v>-0.63573449418538308</v>
      </c>
      <c r="B3">
        <v>-0.25338527501213187</v>
      </c>
      <c r="C3">
        <v>6.9375720642299604E-2</v>
      </c>
      <c r="D3">
        <v>-1.9583168564610573E-3</v>
      </c>
    </row>
    <row r="4" spans="1:4">
      <c r="A4">
        <v>0.77677951119407962</v>
      </c>
      <c r="B4">
        <v>-1.4611781858857915</v>
      </c>
      <c r="C4">
        <v>-2.8935955728824823E-2</v>
      </c>
      <c r="D4">
        <v>-3.7532262994260184E-3</v>
      </c>
    </row>
    <row r="5" spans="1:4">
      <c r="A5">
        <v>0.46346776603144346</v>
      </c>
      <c r="B5">
        <v>-0.38197187244429465</v>
      </c>
      <c r="C5">
        <v>-2.7325501906332584E-2</v>
      </c>
      <c r="D5">
        <v>-6.4980017933838688E-3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DFC4-AC26-4D79-96C0-463943BFECFE}">
  <sheetPr codeName="XLSTAT_20250601_150855_1_HID"/>
  <dimension ref="A1:D5"/>
  <sheetViews>
    <sheetView workbookViewId="0">
      <selection activeCell="C1" sqref="C1"/>
    </sheetView>
  </sheetViews>
  <sheetFormatPr defaultRowHeight="16.2"/>
  <sheetData>
    <row r="1" spans="1:4">
      <c r="A1">
        <v>3.7066509740503399E-2</v>
      </c>
      <c r="B1">
        <v>7.597279512396784E-3</v>
      </c>
      <c r="C1">
        <v>-6.6804733716092435E-3</v>
      </c>
      <c r="D1">
        <v>7.0803588910505807E-3</v>
      </c>
    </row>
    <row r="2" spans="1:4">
      <c r="A2">
        <v>-6.1764209916363437E-2</v>
      </c>
      <c r="B2">
        <v>1.7341014838892033E-3</v>
      </c>
      <c r="C2">
        <v>-1.6267213591438717E-2</v>
      </c>
      <c r="D2">
        <v>2.4386759851034211E-3</v>
      </c>
    </row>
    <row r="3" spans="1:4">
      <c r="A3">
        <v>-2.3410654321054894E-2</v>
      </c>
      <c r="B3">
        <v>-1.2136940414491934E-3</v>
      </c>
      <c r="C3">
        <v>6.9375720642299604E-2</v>
      </c>
      <c r="D3">
        <v>-1.9583168564610573E-3</v>
      </c>
    </row>
    <row r="4" spans="1:4">
      <c r="A4">
        <v>2.860457751870828E-2</v>
      </c>
      <c r="B4">
        <v>-6.9989199554718285E-3</v>
      </c>
      <c r="C4">
        <v>-2.8935955728824823E-2</v>
      </c>
      <c r="D4">
        <v>-3.7532262994260184E-3</v>
      </c>
    </row>
    <row r="5" spans="1:4">
      <c r="A5">
        <v>1.7067004793277326E-2</v>
      </c>
      <c r="B5">
        <v>-1.8296129700695321E-3</v>
      </c>
      <c r="C5">
        <v>-2.7325501906332584E-2</v>
      </c>
      <c r="D5">
        <v>-6.4980017933838688E-3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0D46-5297-473C-9886-99D2A8EE33D0}">
  <sheetPr codeName="工作表1"/>
  <dimension ref="C1:I21"/>
  <sheetViews>
    <sheetView workbookViewId="0">
      <selection activeCell="C12" sqref="C12:E21"/>
    </sheetView>
  </sheetViews>
  <sheetFormatPr defaultRowHeight="16.2"/>
  <sheetData>
    <row r="1" spans="3:9" ht="16.8" thickBot="1">
      <c r="C1" s="54" t="s">
        <v>59</v>
      </c>
      <c r="D1" s="55"/>
      <c r="E1" s="55"/>
      <c r="G1" s="45" t="s">
        <v>59</v>
      </c>
      <c r="H1" s="46"/>
      <c r="I1" s="46"/>
    </row>
    <row r="2" spans="3:9" ht="16.8" thickBot="1">
      <c r="C2" s="56" t="s">
        <v>35</v>
      </c>
      <c r="D2" s="52" t="s">
        <v>60</v>
      </c>
      <c r="E2" s="53"/>
      <c r="G2" s="47" t="s">
        <v>35</v>
      </c>
      <c r="H2" s="48" t="s">
        <v>60</v>
      </c>
      <c r="I2" s="49"/>
    </row>
    <row r="3" spans="3:9" ht="16.8" thickBot="1">
      <c r="C3" s="57"/>
      <c r="D3" s="28" t="s">
        <v>61</v>
      </c>
      <c r="E3" s="29" t="s">
        <v>62</v>
      </c>
      <c r="G3" s="50"/>
      <c r="H3" s="28" t="s">
        <v>61</v>
      </c>
      <c r="I3" s="29" t="s">
        <v>62</v>
      </c>
    </row>
    <row r="4" spans="3:9">
      <c r="C4" s="30" t="s">
        <v>63</v>
      </c>
      <c r="D4" s="31">
        <v>-0.6084513122916011</v>
      </c>
      <c r="E4" s="32">
        <v>-9.1530529811645625E-2</v>
      </c>
      <c r="G4" s="30" t="s">
        <v>0</v>
      </c>
      <c r="H4" s="31">
        <v>-0.77823923239968851</v>
      </c>
      <c r="I4" s="32">
        <v>-4.834228885809249E-2</v>
      </c>
    </row>
    <row r="5" spans="3:9">
      <c r="C5" s="33" t="s">
        <v>64</v>
      </c>
      <c r="D5" s="34">
        <v>-0.56511586738616182</v>
      </c>
      <c r="E5" s="35">
        <v>-0.14437173528378461</v>
      </c>
      <c r="G5" s="33" t="s">
        <v>1</v>
      </c>
      <c r="H5" s="34">
        <v>0.65594703106123298</v>
      </c>
      <c r="I5" s="35">
        <v>-0.3966416294049997</v>
      </c>
    </row>
    <row r="6" spans="3:9">
      <c r="C6" s="33" t="s">
        <v>65</v>
      </c>
      <c r="D6" s="34">
        <v>-0.30560875931039416</v>
      </c>
      <c r="E6" s="35">
        <v>0.29656241323519167</v>
      </c>
      <c r="G6" s="33" t="s">
        <v>2</v>
      </c>
      <c r="H6" s="34">
        <v>0.18025930567319803</v>
      </c>
      <c r="I6" s="35">
        <v>-0.17463872609036521</v>
      </c>
    </row>
    <row r="7" spans="3:9" ht="25.2">
      <c r="C7" s="33" t="s">
        <v>66</v>
      </c>
      <c r="D7" s="34">
        <v>0.70437093158880903</v>
      </c>
      <c r="E7" s="35">
        <v>-5.0150200954488617E-3</v>
      </c>
      <c r="G7" s="33" t="s">
        <v>68</v>
      </c>
      <c r="H7" s="34">
        <v>0.3604205861534705</v>
      </c>
      <c r="I7" s="35">
        <v>0.65905408491212902</v>
      </c>
    </row>
    <row r="8" spans="3:9" ht="16.8" thickBot="1">
      <c r="C8" s="36" t="s">
        <v>67</v>
      </c>
      <c r="D8" s="37">
        <v>0.77480500739934799</v>
      </c>
      <c r="E8" s="38">
        <v>-5.5645128044312667E-2</v>
      </c>
      <c r="G8" s="36" t="s">
        <v>51</v>
      </c>
      <c r="H8" s="37">
        <v>-0.41838769048821295</v>
      </c>
      <c r="I8" s="38">
        <v>-3.9431440558671586E-2</v>
      </c>
    </row>
    <row r="9" spans="3:9" ht="16.8" thickBot="1"/>
    <row r="10" spans="3:9">
      <c r="D10" s="52" t="s">
        <v>60</v>
      </c>
      <c r="E10" s="53"/>
    </row>
    <row r="11" spans="3:9" ht="16.8" thickBot="1">
      <c r="D11" s="28" t="s">
        <v>61</v>
      </c>
      <c r="E11" s="29" t="s">
        <v>62</v>
      </c>
    </row>
    <row r="12" spans="3:9">
      <c r="C12" s="42" t="s">
        <v>3</v>
      </c>
      <c r="D12" s="39">
        <v>-0.6084513122916011</v>
      </c>
      <c r="E12" s="32">
        <v>-9.1530529811645625E-2</v>
      </c>
    </row>
    <row r="13" spans="3:9">
      <c r="C13" s="43" t="s">
        <v>4</v>
      </c>
      <c r="D13" s="40">
        <v>-0.56511586738616182</v>
      </c>
      <c r="E13" s="35">
        <v>-0.14437173528378461</v>
      </c>
    </row>
    <row r="14" spans="3:9">
      <c r="C14" s="43" t="s">
        <v>5</v>
      </c>
      <c r="D14" s="40">
        <v>-0.30560875931039416</v>
      </c>
      <c r="E14" s="35">
        <v>0.29656241323519167</v>
      </c>
    </row>
    <row r="15" spans="3:9">
      <c r="C15" s="43" t="s">
        <v>6</v>
      </c>
      <c r="D15" s="40">
        <v>0.70437093158880903</v>
      </c>
      <c r="E15" s="35">
        <v>-5.0150200954488617E-3</v>
      </c>
    </row>
    <row r="16" spans="3:9" ht="16.8" thickBot="1">
      <c r="C16" s="44" t="s">
        <v>7</v>
      </c>
      <c r="D16" s="41">
        <v>0.77480500739934799</v>
      </c>
      <c r="E16" s="38">
        <v>-5.5645128044312667E-2</v>
      </c>
    </row>
    <row r="17" spans="3:5">
      <c r="C17" s="33" t="s">
        <v>0</v>
      </c>
      <c r="D17" s="31">
        <v>-0.77823923239968851</v>
      </c>
      <c r="E17" s="32">
        <v>-4.834228885809249E-2</v>
      </c>
    </row>
    <row r="18" spans="3:5">
      <c r="C18" s="33" t="s">
        <v>1</v>
      </c>
      <c r="D18" s="34">
        <v>0.65594703106123298</v>
      </c>
      <c r="E18" s="35">
        <v>-0.3966416294049997</v>
      </c>
    </row>
    <row r="19" spans="3:5">
      <c r="C19" s="33" t="s">
        <v>2</v>
      </c>
      <c r="D19" s="34">
        <v>0.18025930567319803</v>
      </c>
      <c r="E19" s="35">
        <v>-0.17463872609036521</v>
      </c>
    </row>
    <row r="20" spans="3:5" ht="25.2">
      <c r="C20" s="33" t="s">
        <v>68</v>
      </c>
      <c r="D20" s="34">
        <v>0.3604205861534705</v>
      </c>
      <c r="E20" s="35">
        <v>0.65905408491212902</v>
      </c>
    </row>
    <row r="21" spans="3:5" ht="16.8" thickBot="1">
      <c r="C21" s="36" t="s">
        <v>51</v>
      </c>
      <c r="D21" s="37">
        <v>-0.41838769048821295</v>
      </c>
      <c r="E21" s="38">
        <v>-3.9431440558671586E-2</v>
      </c>
    </row>
  </sheetData>
  <mergeCells count="4">
    <mergeCell ref="D10:E10"/>
    <mergeCell ref="C1:E1"/>
    <mergeCell ref="C2:C3"/>
    <mergeCell ref="D2:E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Dataset</vt:lpstr>
      <vt:lpstr>CA</vt:lpstr>
      <vt:lpstr>XLSTAT_20250601_150855_1_HID2</vt:lpstr>
      <vt:lpstr>XLSTAT_20250601_150855_1_HID1</vt:lpstr>
      <vt:lpstr>XLSTAT_20250601_150855_1_HID</vt:lpstr>
      <vt:lpstr>SPSS MDS PROXSCAL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曹修源</dc:creator>
  <cp:lastModifiedBy>曹修源</cp:lastModifiedBy>
  <dcterms:created xsi:type="dcterms:W3CDTF">2025-06-01T06:32:00Z</dcterms:created>
  <dcterms:modified xsi:type="dcterms:W3CDTF">2026-04-22T03:03:17Z</dcterms:modified>
</cp:coreProperties>
</file>